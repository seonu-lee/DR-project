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6585E6A-DE15-4618-9662-864EE001C3EE}" xr6:coauthVersionLast="47" xr6:coauthVersionMax="47" xr10:uidLastSave="{00000000-0000-0000-0000-000000000000}"/>
  <bookViews>
    <workbookView xWindow="-28920" yWindow="-165" windowWidth="29040" windowHeight="15720" xr2:uid="{00000000-000D-0000-FFFF-FFFF00000000}"/>
  </bookViews>
  <sheets>
    <sheet name="rawdata" sheetId="2" r:id="rId1"/>
    <sheet name="Sheet7" sheetId="9" state="hidden" r:id="rId2"/>
    <sheet name="Sheet1" sheetId="3" state="hidden" r:id="rId3"/>
    <sheet name="Sheet2" sheetId="4" state="hidden" r:id="rId4"/>
    <sheet name="Sheet3" sheetId="5" state="hidden" r:id="rId5"/>
    <sheet name="Sheet5" sheetId="7" state="hidden" r:id="rId6"/>
    <sheet name="Sheet4" sheetId="6" state="hidden" r:id="rId7"/>
    <sheet name="Sheet6" sheetId="8" state="hidden" r:id="rId8"/>
    <sheet name="피벗테이블" sheetId="11" state="hidden" r:id="rId9"/>
  </sheets>
  <definedNames>
    <definedName name="_xlnm._FilterDatabase" localSheetId="0" hidden="1">rawdata!$A$3:$F$1359</definedName>
    <definedName name="_xlnm._FilterDatabase" localSheetId="3" hidden="1">Sheet2!$C$4:$C$404</definedName>
    <definedName name="_xlnm._FilterDatabase" localSheetId="4" hidden="1">Sheet3!$D$4:$E$143</definedName>
    <definedName name="_xlnm._FilterDatabase" localSheetId="6" hidden="1">Sheet4!$D$5:$D$97</definedName>
    <definedName name="_xlnm._FilterDatabase" localSheetId="5" hidden="1">Sheet5!$A$20:$E$20</definedName>
    <definedName name="_xlnm._FilterDatabase" localSheetId="7" hidden="1">Sheet6!$F$2:$F$160</definedName>
    <definedName name="_xlnm._FilterDatabase" localSheetId="1" hidden="1">Sheet7!$A$1:$J$1</definedName>
    <definedName name="_xlnm._FilterDatabase" localSheetId="8" hidden="1">피벗테이블!$A$251:$A$260</definedName>
    <definedName name="_xlnm.Print_Area" localSheetId="0">rawdata!$A$1:$F$1359</definedName>
    <definedName name="_xlnm.Print_Titles" localSheetId="0">rawdata!$3:$3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13" i="2" l="1"/>
  <c r="F1214" i="2"/>
  <c r="F1215" i="2"/>
  <c r="F1216" i="2"/>
  <c r="F1217" i="2"/>
  <c r="F1218" i="2"/>
  <c r="XDF1151" i="2" l="1"/>
  <c r="D7" i="3" l="1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81" authorId="0" shapeId="0" xr:uid="{9CFD0885-255B-4DFB-8DB1-FDED30696E30}">
      <text>
        <r>
          <rPr>
            <b/>
            <sz val="16"/>
            <color indexed="81"/>
            <rFont val="Tahoma"/>
            <family val="2"/>
          </rPr>
          <t>79~81</t>
        </r>
        <r>
          <rPr>
            <b/>
            <sz val="16"/>
            <color indexed="81"/>
            <rFont val="돋움"/>
            <family val="3"/>
            <charset val="129"/>
          </rPr>
          <t>번</t>
        </r>
        <r>
          <rPr>
            <b/>
            <sz val="16"/>
            <color indexed="81"/>
            <rFont val="Tahoma"/>
            <family val="2"/>
          </rPr>
          <t>(3</t>
        </r>
        <r>
          <rPr>
            <b/>
            <sz val="16"/>
            <color indexed="81"/>
            <rFont val="돋움"/>
            <family val="3"/>
            <charset val="129"/>
          </rPr>
          <t>개소</t>
        </r>
        <r>
          <rPr>
            <b/>
            <sz val="16"/>
            <color indexed="81"/>
            <rFont val="Tahoma"/>
            <family val="2"/>
          </rPr>
          <t>)
1</t>
        </r>
        <r>
          <rPr>
            <b/>
            <sz val="16"/>
            <color indexed="81"/>
            <rFont val="돋움"/>
            <family val="3"/>
            <charset val="129"/>
          </rPr>
          <t>개소로</t>
        </r>
        <r>
          <rPr>
            <b/>
            <sz val="16"/>
            <color indexed="81"/>
            <rFont val="Tahoma"/>
            <family val="2"/>
          </rPr>
          <t xml:space="preserve"> </t>
        </r>
        <r>
          <rPr>
            <b/>
            <sz val="16"/>
            <color indexed="81"/>
            <rFont val="돋움"/>
            <family val="3"/>
            <charset val="129"/>
          </rPr>
          <t xml:space="preserve">통합
</t>
        </r>
        <r>
          <rPr>
            <b/>
            <sz val="16"/>
            <color indexed="81"/>
            <rFont val="Tahoma"/>
            <family val="2"/>
          </rPr>
          <t xml:space="preserve">- </t>
        </r>
        <r>
          <rPr>
            <b/>
            <sz val="16"/>
            <color indexed="81"/>
            <rFont val="돋움"/>
            <family val="3"/>
            <charset val="129"/>
          </rPr>
          <t>빗물펌프장</t>
        </r>
        <r>
          <rPr>
            <b/>
            <sz val="16"/>
            <color indexed="81"/>
            <rFont val="Tahoma"/>
            <family val="2"/>
          </rPr>
          <t>(</t>
        </r>
        <r>
          <rPr>
            <b/>
            <sz val="16"/>
            <color indexed="81"/>
            <rFont val="돋움"/>
            <family val="3"/>
            <charset val="129"/>
          </rPr>
          <t>망원</t>
        </r>
        <r>
          <rPr>
            <b/>
            <sz val="16"/>
            <color indexed="81"/>
            <rFont val="Tahoma"/>
            <family val="2"/>
          </rPr>
          <t xml:space="preserve">1) </t>
        </r>
        <r>
          <rPr>
            <b/>
            <sz val="16"/>
            <color indexed="81"/>
            <rFont val="돋움"/>
            <family val="3"/>
            <charset val="129"/>
          </rPr>
          <t>태양광</t>
        </r>
        <r>
          <rPr>
            <b/>
            <sz val="16"/>
            <color indexed="81"/>
            <rFont val="Tahoma"/>
            <family val="2"/>
          </rPr>
          <t xml:space="preserve"> </t>
        </r>
        <r>
          <rPr>
            <b/>
            <sz val="16"/>
            <color indexed="81"/>
            <rFont val="돋움"/>
            <family val="3"/>
            <charset val="129"/>
          </rPr>
          <t>어레이</t>
        </r>
        <r>
          <rPr>
            <b/>
            <sz val="16"/>
            <color indexed="81"/>
            <rFont val="Tahoma"/>
            <family val="2"/>
          </rPr>
          <t xml:space="preserve"> 100kW </t>
        </r>
        <r>
          <rPr>
            <b/>
            <sz val="16"/>
            <color indexed="81"/>
            <rFont val="돋움"/>
            <family val="3"/>
            <charset val="129"/>
          </rPr>
          <t>운영</t>
        </r>
        <r>
          <rPr>
            <b/>
            <sz val="16"/>
            <color indexed="81"/>
            <rFont val="Tahoma"/>
            <family val="2"/>
          </rPr>
          <t xml:space="preserve"> </t>
        </r>
        <r>
          <rPr>
            <b/>
            <sz val="16"/>
            <color indexed="81"/>
            <rFont val="돋움"/>
            <family val="3"/>
            <charset val="129"/>
          </rPr>
          <t>중</t>
        </r>
      </text>
    </comment>
    <comment ref="B1114" authorId="1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모니터링시스템상</t>
        </r>
        <r>
          <rPr>
            <b/>
            <sz val="9"/>
            <color indexed="81"/>
            <rFont val="Tahoma"/>
            <family val="2"/>
          </rPr>
          <t xml:space="preserve"> 18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설치
</t>
        </r>
      </text>
    </comment>
  </commentList>
</comments>
</file>

<file path=xl/sharedStrings.xml><?xml version="1.0" encoding="utf-8"?>
<sst xmlns="http://schemas.openxmlformats.org/spreadsheetml/2006/main" count="5044" uniqueCount="3006">
  <si>
    <t>준공월</t>
    <phoneticPr fontId="3" type="noConversion"/>
  </si>
  <si>
    <t>관리부서</t>
    <phoneticPr fontId="3" type="noConversion"/>
  </si>
  <si>
    <t>주소</t>
    <phoneticPr fontId="3" type="noConversion"/>
  </si>
  <si>
    <t>강남구</t>
  </si>
  <si>
    <t>여성권익담당관</t>
  </si>
  <si>
    <t>인력개발과</t>
  </si>
  <si>
    <t>서초구</t>
  </si>
  <si>
    <t>인재개발원</t>
  </si>
  <si>
    <t>성동구</t>
  </si>
  <si>
    <t>동부공원녹지사업소</t>
  </si>
  <si>
    <t>서울숲식물원(곤충식물원)</t>
  </si>
  <si>
    <t>아동복지센터</t>
  </si>
  <si>
    <t>서울시설공단</t>
  </si>
  <si>
    <t>은평구</t>
  </si>
  <si>
    <t>성북구</t>
  </si>
  <si>
    <t>성북장애인복지관</t>
  </si>
  <si>
    <t>마포구</t>
  </si>
  <si>
    <t>어르신복지과</t>
  </si>
  <si>
    <t>서부노인전문요양센터</t>
  </si>
  <si>
    <t>서대문구</t>
  </si>
  <si>
    <t>인생이모작지원과</t>
  </si>
  <si>
    <t>서대문노인종합복지관</t>
  </si>
  <si>
    <t>농업기술센터</t>
  </si>
  <si>
    <t>광진구</t>
  </si>
  <si>
    <t>중곡1동어린이집</t>
  </si>
  <si>
    <t>중앙어린이집</t>
  </si>
  <si>
    <t>도봉구</t>
  </si>
  <si>
    <t>도봉환경교실(발바닥공원)</t>
  </si>
  <si>
    <t>마포구종합청사</t>
  </si>
  <si>
    <t>구로구</t>
  </si>
  <si>
    <t>고척근린공원</t>
  </si>
  <si>
    <t>영등포구</t>
  </si>
  <si>
    <t>취업정보센터</t>
  </si>
  <si>
    <t>관악구</t>
  </si>
  <si>
    <t>동작구</t>
  </si>
  <si>
    <t>여성정책담당관</t>
  </si>
  <si>
    <t>서울여성플라자</t>
  </si>
  <si>
    <t>강서구</t>
  </si>
  <si>
    <t>도시철도과</t>
  </si>
  <si>
    <t>김포차량기지</t>
  </si>
  <si>
    <t>자원순환과</t>
  </si>
  <si>
    <t>마포주민편익시설</t>
  </si>
  <si>
    <t>총무과</t>
  </si>
  <si>
    <t>강북구</t>
  </si>
  <si>
    <t>청소년정책과</t>
  </si>
  <si>
    <t>강북청소년센터</t>
  </si>
  <si>
    <t>성북청소년센터</t>
  </si>
  <si>
    <t>보건환경연구원</t>
  </si>
  <si>
    <t>보건환경연구원 본관 연구동</t>
  </si>
  <si>
    <t>배움관</t>
  </si>
  <si>
    <t>영등포아리수센터</t>
  </si>
  <si>
    <t>한강사업본부</t>
  </si>
  <si>
    <t>잠원안내센터</t>
  </si>
  <si>
    <t>반포안내센터</t>
  </si>
  <si>
    <t>뚝섬안내센터(옥상)</t>
  </si>
  <si>
    <t>용산구</t>
  </si>
  <si>
    <t>송파구</t>
  </si>
  <si>
    <t>강동구</t>
  </si>
  <si>
    <t>체육시설관리사업소</t>
  </si>
  <si>
    <t>서부도로사업소</t>
  </si>
  <si>
    <t>중부공원녹지사업소</t>
  </si>
  <si>
    <t>서울창포원</t>
  </si>
  <si>
    <t>서부공원녹지사업소</t>
  </si>
  <si>
    <t>선유도안내센터</t>
  </si>
  <si>
    <t>양천구</t>
  </si>
  <si>
    <t>강서공영차고지</t>
  </si>
  <si>
    <t>농수산식품공사</t>
  </si>
  <si>
    <t>서울시농수산식품공사(친환경농산물급식유통센터)</t>
  </si>
  <si>
    <t>가양4단지</t>
  </si>
  <si>
    <t>가양5단지</t>
  </si>
  <si>
    <t>노원구</t>
  </si>
  <si>
    <t>방화11단지</t>
  </si>
  <si>
    <t>방화2-1단지</t>
  </si>
  <si>
    <t>월계사슴1단지</t>
  </si>
  <si>
    <t>중계3단지</t>
  </si>
  <si>
    <t>서울에너지공사</t>
  </si>
  <si>
    <t>종로구</t>
  </si>
  <si>
    <t>무악어린이집</t>
  </si>
  <si>
    <t>삼청동주민센터</t>
  </si>
  <si>
    <t>종로노인복지관(별관)</t>
  </si>
  <si>
    <t>종로종합사회복지관</t>
  </si>
  <si>
    <t>청운어린이집</t>
  </si>
  <si>
    <t>평창동주민센터</t>
  </si>
  <si>
    <t>효창종합사회복지관</t>
  </si>
  <si>
    <t>중곡종합사회복지관</t>
  </si>
  <si>
    <t>중곡1동제2경로당</t>
  </si>
  <si>
    <t>동대문구</t>
  </si>
  <si>
    <t>동대문구체육관</t>
  </si>
  <si>
    <t>중랑구</t>
  </si>
  <si>
    <t>신내노인종합복지관</t>
  </si>
  <si>
    <t>성북근린공원</t>
  </si>
  <si>
    <t>아리랑시네센터</t>
  </si>
  <si>
    <t>수유2동어린이집</t>
  </si>
  <si>
    <t>도봉구시설관리공단</t>
  </si>
  <si>
    <t>도봉문화정보도서관</t>
  </si>
  <si>
    <t>공릉어린이집</t>
  </si>
  <si>
    <t>하계어린이집</t>
  </si>
  <si>
    <t>갈현2동주민센터</t>
  </si>
  <si>
    <t>자연사박물관</t>
  </si>
  <si>
    <t>서대문보건소</t>
  </si>
  <si>
    <t>남가좌2동주민센터</t>
  </si>
  <si>
    <t>화원종합복지관</t>
  </si>
  <si>
    <t>고척2동주민센터</t>
  </si>
  <si>
    <t>구일어린이집</t>
  </si>
  <si>
    <t>금천구</t>
  </si>
  <si>
    <t>금천구민문화체육센터</t>
  </si>
  <si>
    <t>금천노인종합복지관</t>
  </si>
  <si>
    <t>독산빗물펌프장</t>
  </si>
  <si>
    <t>신길종합사회복지관</t>
  </si>
  <si>
    <t>영등포청소년문화의집</t>
  </si>
  <si>
    <t>영등포구청사</t>
  </si>
  <si>
    <t>영등포구민체육센터</t>
  </si>
  <si>
    <t>동작문화복지센터</t>
  </si>
  <si>
    <t>선봉어린이집</t>
  </si>
  <si>
    <t>한우리정보문화센터</t>
  </si>
  <si>
    <t>서초구청사보건소</t>
  </si>
  <si>
    <t>도곡2문화센터</t>
  </si>
  <si>
    <t>삼성1동문화센터</t>
  </si>
  <si>
    <t>잠실3동자치회관</t>
  </si>
  <si>
    <t>평생교육과</t>
  </si>
  <si>
    <t>보건의료정책과</t>
  </si>
  <si>
    <t>보라매안전체험관(제2시민안전체험관)</t>
  </si>
  <si>
    <t>서울시립대학교</t>
  </si>
  <si>
    <t>21세기관 태양광 발전설비</t>
  </si>
  <si>
    <t>창의관</t>
  </si>
  <si>
    <t>2정수 활성탄흡착지동</t>
  </si>
  <si>
    <t>난지물재생센터</t>
  </si>
  <si>
    <t>난지물재생센터주차장(고양시)</t>
  </si>
  <si>
    <t>서울대공원</t>
  </si>
  <si>
    <t>서울대공원종합관리사무소</t>
  </si>
  <si>
    <t>동부이촌지하차도</t>
  </si>
  <si>
    <t>어린이대공원바다동물관</t>
  </si>
  <si>
    <t>어린이대공원 식물원</t>
  </si>
  <si>
    <t>어린이대공원동물사</t>
  </si>
  <si>
    <t>수서6단지</t>
  </si>
  <si>
    <t>동작SHVille(상도)</t>
  </si>
  <si>
    <t>대치1단지</t>
  </si>
  <si>
    <t>면목단지</t>
  </si>
  <si>
    <t>수서1단지</t>
  </si>
  <si>
    <t>신내10단지</t>
  </si>
  <si>
    <t>신내12단지</t>
  </si>
  <si>
    <t>신정학마을2단지</t>
  </si>
  <si>
    <t>신트리2단지</t>
  </si>
  <si>
    <t>월계사슴2단지</t>
  </si>
  <si>
    <t>관악드림타운단지</t>
  </si>
  <si>
    <t>서울시의회</t>
  </si>
  <si>
    <t>시의회청사</t>
  </si>
  <si>
    <t>중구</t>
  </si>
  <si>
    <t>신당구립도서관</t>
  </si>
  <si>
    <t>장충동주민센터</t>
  </si>
  <si>
    <t>충무아트홀</t>
  </si>
  <si>
    <t>용산구종합행정타운</t>
  </si>
  <si>
    <t>청파동주민자치센터</t>
  </si>
  <si>
    <t>효창동 주민자치센터</t>
  </si>
  <si>
    <t>응봉빗물펌프장</t>
  </si>
  <si>
    <t>옥수빗물펌프장</t>
  </si>
  <si>
    <t>중곡4동주민센터</t>
  </si>
  <si>
    <t>자양4빗물펌프장</t>
  </si>
  <si>
    <t>화양동주민센터</t>
  </si>
  <si>
    <t>자양4동주민센터</t>
  </si>
  <si>
    <t>능동경로당</t>
  </si>
  <si>
    <t>휘경1동주민센터</t>
  </si>
  <si>
    <t>용두빗물펌프장</t>
  </si>
  <si>
    <t>장안4빗물펌프장</t>
  </si>
  <si>
    <t>신답빗물펌프장</t>
  </si>
  <si>
    <t>구립동대문청소년독서실</t>
  </si>
  <si>
    <t>성북구민체육관</t>
  </si>
  <si>
    <t>장위3동어린이집</t>
  </si>
  <si>
    <t>수유1동 복합청사</t>
  </si>
  <si>
    <t>공릉1,3동주민센터</t>
  </si>
  <si>
    <t>공릉2동주민센터</t>
  </si>
  <si>
    <t>공릉빗물펌프장1호기</t>
  </si>
  <si>
    <t>보람어린이집</t>
  </si>
  <si>
    <t>역촌동주민센터</t>
  </si>
  <si>
    <t>은평구청사</t>
  </si>
  <si>
    <t>홍은종합사회복지관</t>
  </si>
  <si>
    <t>빗물펌프장(마포)</t>
  </si>
  <si>
    <t>빗물펌프장(망원2)</t>
  </si>
  <si>
    <t>가산어린이집</t>
  </si>
  <si>
    <t>개미어린이집</t>
  </si>
  <si>
    <t>새길어린이집</t>
  </si>
  <si>
    <t>옥계어린이집</t>
  </si>
  <si>
    <t>대림1동주민센터</t>
  </si>
  <si>
    <t>영등포보건분소</t>
  </si>
  <si>
    <t>문래빗물펌프장</t>
  </si>
  <si>
    <t>문래청소년수련관</t>
  </si>
  <si>
    <t>동작구의회</t>
  </si>
  <si>
    <t>문성어린이집</t>
  </si>
  <si>
    <t>서원어린이집</t>
  </si>
  <si>
    <t>서초구민체육센터</t>
  </si>
  <si>
    <t>강남시니어프라자</t>
  </si>
  <si>
    <t>탄천∙양재천 방문자센터</t>
  </si>
  <si>
    <t>송파어린이전용복합문화시설</t>
  </si>
  <si>
    <t>거여2동주민센터</t>
  </si>
  <si>
    <t>강동그린나래복지센터</t>
  </si>
  <si>
    <t>강일동복합청사</t>
  </si>
  <si>
    <t>일자산제1체육관</t>
  </si>
  <si>
    <t>노원자원회수시설</t>
  </si>
  <si>
    <t>SR센터</t>
  </si>
  <si>
    <t>광진청소년센터</t>
  </si>
  <si>
    <t>국제학사 태양광 발전설비</t>
  </si>
  <si>
    <t>보건환경연구원 신관</t>
  </si>
  <si>
    <t>성동도로사업소</t>
  </si>
  <si>
    <t>성동도로사업소차고지</t>
  </si>
  <si>
    <t>천왕역환승센터</t>
  </si>
  <si>
    <t>길음뉴타운3차</t>
  </si>
  <si>
    <t>목동2차우성단지</t>
  </si>
  <si>
    <t>행당대림단지</t>
  </si>
  <si>
    <t>행당한진단지</t>
  </si>
  <si>
    <t>서울의료원</t>
  </si>
  <si>
    <t>서울의료원 1</t>
  </si>
  <si>
    <t>혜화동자치회관</t>
  </si>
  <si>
    <t>동대문구정보화도서관</t>
  </si>
  <si>
    <t>강북구육아종합지원센터</t>
  </si>
  <si>
    <t>중계2,3동공공복합청사</t>
  </si>
  <si>
    <t>월계동보건문화복합청사(월계헬스케어센터)</t>
  </si>
  <si>
    <t>하계2동주민센터</t>
  </si>
  <si>
    <t>갈현노인복지센터</t>
  </si>
  <si>
    <t>서대문구청제4별관</t>
  </si>
  <si>
    <t>마포복지종합지원센터</t>
  </si>
  <si>
    <t>금천구 종합청사 1</t>
  </si>
  <si>
    <t>독산3동주민센터</t>
  </si>
  <si>
    <t>영등포동주민센터</t>
  </si>
  <si>
    <t>금빛어린이집</t>
  </si>
  <si>
    <t>인헌동주민센터</t>
  </si>
  <si>
    <t>강남구청직장어린이집</t>
  </si>
  <si>
    <t>방이동생태학습관</t>
  </si>
  <si>
    <t>송파체육문화회관</t>
  </si>
  <si>
    <t>잠실빗물펌프장관사동</t>
  </si>
  <si>
    <t>성내1동 경로당</t>
  </si>
  <si>
    <t>명일동 공영주차장</t>
  </si>
  <si>
    <t>환경시민협력과</t>
  </si>
  <si>
    <t>신청사</t>
  </si>
  <si>
    <t>강동청소년센터</t>
  </si>
  <si>
    <t>주택정책과</t>
  </si>
  <si>
    <t>목동현대A</t>
  </si>
  <si>
    <t>어린이병원</t>
  </si>
  <si>
    <t>어린이병원건물(동관 옥상1)</t>
  </si>
  <si>
    <t>잠실제1수영장</t>
  </si>
  <si>
    <t>강서도로사업소</t>
  </si>
  <si>
    <t>강서도로사업소차고지옥상</t>
  </si>
  <si>
    <t>동부도로사업소</t>
  </si>
  <si>
    <t>북부도로사업소</t>
  </si>
  <si>
    <t>구기터널관리사무소</t>
  </si>
  <si>
    <t>서울추모공원</t>
  </si>
  <si>
    <t>서울상상나라(서울어린이대공원)</t>
  </si>
  <si>
    <t>개화역광역환승센터</t>
  </si>
  <si>
    <t>중림삼성</t>
  </si>
  <si>
    <t>관악벽산블루밍</t>
  </si>
  <si>
    <t>목동현대B</t>
  </si>
  <si>
    <t>미아벽산</t>
  </si>
  <si>
    <t>신정삼성</t>
  </si>
  <si>
    <t>서울특별시의회본관</t>
  </si>
  <si>
    <t>종로장애인복지관 및 푸르메재활센터</t>
  </si>
  <si>
    <t>중림복합시설</t>
  </si>
  <si>
    <t>성수문화복지회관</t>
  </si>
  <si>
    <t>왕십리어린이집</t>
  </si>
  <si>
    <t>능동주민센터</t>
  </si>
  <si>
    <t>석관동주민센터</t>
  </si>
  <si>
    <t>한내어린이집</t>
  </si>
  <si>
    <t>노원마들스터디움2차</t>
  </si>
  <si>
    <t>가로공원주차장</t>
  </si>
  <si>
    <t>신월4동주민센터</t>
  </si>
  <si>
    <t>곰달래문화복지센터</t>
  </si>
  <si>
    <t>영등포그린&amp;케어센터</t>
  </si>
  <si>
    <t>신길5동주민센터</t>
  </si>
  <si>
    <t>복은어린이집</t>
  </si>
  <si>
    <t>반포4동주민센터</t>
  </si>
  <si>
    <t>서초2동주민센터</t>
  </si>
  <si>
    <t>도곡1문화센터</t>
  </si>
  <si>
    <t>송파실벗뜨락</t>
  </si>
  <si>
    <t>송파여성문화회관</t>
  </si>
  <si>
    <t>암사2동주민센터</t>
  </si>
  <si>
    <t>강동구민회관</t>
  </si>
  <si>
    <t>마포자원회수시설</t>
  </si>
  <si>
    <t>차량지원실</t>
  </si>
  <si>
    <t>화곡청소년센터</t>
  </si>
  <si>
    <t>중랑청소년센터</t>
  </si>
  <si>
    <t>소방재난본부</t>
  </si>
  <si>
    <t>구로구119안전센터</t>
  </si>
  <si>
    <t>목동119안전센터</t>
  </si>
  <si>
    <t>중앙도서관 태양광 발전설비</t>
  </si>
  <si>
    <t>법학관 태양광 발전설비</t>
  </si>
  <si>
    <t>제2공학관 태양광 발전설비</t>
  </si>
  <si>
    <t>정보기술관 태양광 발전설비</t>
  </si>
  <si>
    <t>조형관 태양광 발전설비</t>
  </si>
  <si>
    <t>난지안내센터</t>
  </si>
  <si>
    <t>잠실야구장3루측지붕</t>
  </si>
  <si>
    <t>푸른수목원</t>
  </si>
  <si>
    <t>서울월드컵경기장</t>
  </si>
  <si>
    <t>글로벌센터</t>
  </si>
  <si>
    <t>길음뉴타운4단지</t>
  </si>
  <si>
    <t>북한산래미안</t>
  </si>
  <si>
    <t>북한산힐스테이트3차</t>
  </si>
  <si>
    <t>서울시의회옥상</t>
  </si>
  <si>
    <t>구립한남노인요양원</t>
  </si>
  <si>
    <t>왕십리도선동 주민센터</t>
  </si>
  <si>
    <t>휘경2동주민센터</t>
  </si>
  <si>
    <t>성북정보화도서관</t>
  </si>
  <si>
    <t>번동햇살공영주차장</t>
  </si>
  <si>
    <t>미아동 복합청사</t>
  </si>
  <si>
    <t>다목적체육관</t>
  </si>
  <si>
    <t>홍은청소년문화의집</t>
  </si>
  <si>
    <t>마포구종합행정타운</t>
  </si>
  <si>
    <t>신월5동주민센터</t>
  </si>
  <si>
    <t>신정1동주민센터</t>
  </si>
  <si>
    <t>신정3동현장민원실</t>
  </si>
  <si>
    <t>오금빗물펌프장</t>
  </si>
  <si>
    <t>발산1동주민센터</t>
  </si>
  <si>
    <t>까치산시장 고객지원센터</t>
  </si>
  <si>
    <t>남부골목시장 고객지원센터</t>
  </si>
  <si>
    <t>송화벽화시장 고객지원센터</t>
  </si>
  <si>
    <t>구로구민회관</t>
  </si>
  <si>
    <t>궁동종합사회복지관</t>
  </si>
  <si>
    <t>금천종합복지타운</t>
  </si>
  <si>
    <t>금천구 종합청사 2</t>
  </si>
  <si>
    <t>금천호암노인종합복지관</t>
  </si>
  <si>
    <t>독산배드민턴체육관</t>
  </si>
  <si>
    <t>시흥경로당 새재미마을에너지사랑방</t>
  </si>
  <si>
    <t>안양천 공중화장실(4개소)</t>
  </si>
  <si>
    <t>사당솔밭도서관</t>
  </si>
  <si>
    <t>남현동복합청사</t>
  </si>
  <si>
    <t>관악청소년회관</t>
  </si>
  <si>
    <t>조원동복합청사</t>
  </si>
  <si>
    <t>방배열린문화센터</t>
  </si>
  <si>
    <t>반포종합사회복지관</t>
  </si>
  <si>
    <t>대치2동주민센터</t>
  </si>
  <si>
    <t>어린이안전교육관</t>
  </si>
  <si>
    <t>산모건강증진센터</t>
  </si>
  <si>
    <t>성내1동주민센터</t>
  </si>
  <si>
    <t>강동구청 본관</t>
  </si>
  <si>
    <t>강동구보건소치매센타</t>
  </si>
  <si>
    <t>암사1동자치회관</t>
  </si>
  <si>
    <t>장애인복지정책과</t>
  </si>
  <si>
    <t>행복플러스보호작업장</t>
  </si>
  <si>
    <t>장애인자립지원과</t>
  </si>
  <si>
    <t>노원시각장애인복지관</t>
  </si>
  <si>
    <t>녹색에너지과</t>
  </si>
  <si>
    <t>문현중학교 태양광발전소</t>
  </si>
  <si>
    <t>서울배봉초등학교 태양광발전소</t>
  </si>
  <si>
    <t>서울유스호스텔</t>
  </si>
  <si>
    <t>창동119안전센터</t>
  </si>
  <si>
    <t>개화119안전센터</t>
  </si>
  <si>
    <t>미아119안전센터</t>
  </si>
  <si>
    <t>백운119안전센터</t>
  </si>
  <si>
    <t>수궁119안전센터</t>
  </si>
  <si>
    <t>신정119안전센터</t>
  </si>
  <si>
    <t>양재119안전센터</t>
  </si>
  <si>
    <t>잠실119안전센터</t>
  </si>
  <si>
    <t>쌍문119안전센터</t>
  </si>
  <si>
    <t>반포한강공원무지개분수</t>
  </si>
  <si>
    <t>신곡수중보</t>
  </si>
  <si>
    <t>여의도샛강생태공원</t>
  </si>
  <si>
    <t>잠실수중보</t>
  </si>
  <si>
    <t>목동야구장(운동장)</t>
  </si>
  <si>
    <t>독립문극동</t>
  </si>
  <si>
    <t>상도건영</t>
  </si>
  <si>
    <t>하계학여울청구B</t>
  </si>
  <si>
    <t>천왕동여성안심주택</t>
  </si>
  <si>
    <t>무악동노인복지센터</t>
  </si>
  <si>
    <t>훈련원공원내 종합체육관</t>
  </si>
  <si>
    <t>금일경로당(대현경로복지관)</t>
  </si>
  <si>
    <t>뚝섬실버문화센터</t>
  </si>
  <si>
    <t>상원경로당</t>
  </si>
  <si>
    <t>성동구청사</t>
  </si>
  <si>
    <t>성수1가1동 경로당 2층 할머니방</t>
  </si>
  <si>
    <t>동대문종합사회복지관</t>
  </si>
  <si>
    <t>제기동주민센터</t>
  </si>
  <si>
    <t>답십리2동주민센터</t>
  </si>
  <si>
    <t>동대문구답십리도서관</t>
  </si>
  <si>
    <t>수유마을시장 공영주차장</t>
  </si>
  <si>
    <t>오동공원배드민턴장</t>
  </si>
  <si>
    <t>건설자재창고</t>
  </si>
  <si>
    <t>도봉동노인복지센터</t>
  </si>
  <si>
    <t xml:space="preserve">도봉시민햇빛나눔발전소 1호기(도봉문화정보센터) </t>
  </si>
  <si>
    <t>공릉빗물펌프장2호기</t>
  </si>
  <si>
    <t>구립중계어린이집</t>
  </si>
  <si>
    <t>초안산숲속작은도서관</t>
  </si>
  <si>
    <t>홍은도담도서관</t>
  </si>
  <si>
    <t>신월종합사회복지관</t>
  </si>
  <si>
    <t>신월청소년문화센터</t>
  </si>
  <si>
    <t>양천구보건소</t>
  </si>
  <si>
    <t>양천구민체육센터</t>
  </si>
  <si>
    <t>강서구청가양동별관</t>
  </si>
  <si>
    <t>강서통합관제센터</t>
  </si>
  <si>
    <t>구로3동자치회관</t>
  </si>
  <si>
    <t>구로구민체육센터</t>
  </si>
  <si>
    <t>구로청소년문화의집</t>
  </si>
  <si>
    <t>온수동주민공동이용시설</t>
  </si>
  <si>
    <t>금천구 종합청사</t>
  </si>
  <si>
    <t>도담어린이집</t>
  </si>
  <si>
    <t>시흥4동주민센터</t>
  </si>
  <si>
    <t>영등포구청제2구민체육센터</t>
  </si>
  <si>
    <t>신림청소년독서실</t>
  </si>
  <si>
    <t>중앙동주민자치센터</t>
  </si>
  <si>
    <t>서초1동주민센터</t>
  </si>
  <si>
    <t>강남구립행복요양병원</t>
  </si>
  <si>
    <t>석촌동주민센터</t>
  </si>
  <si>
    <t>거여1동주민센터</t>
  </si>
  <si>
    <t>가족담당관</t>
  </si>
  <si>
    <t>서울면동초등학교 태양광발전소</t>
  </si>
  <si>
    <t>수도전기공업고등학교 태양광발전소</t>
  </si>
  <si>
    <t>수서중학교 태양광발전소</t>
  </si>
  <si>
    <t>중랑공영차고지</t>
  </si>
  <si>
    <t>서울청소년센터</t>
  </si>
  <si>
    <t>구로소방서</t>
  </si>
  <si>
    <t>언무관 태양광 발전설비</t>
  </si>
  <si>
    <t>뚝도아리수정수센터</t>
  </si>
  <si>
    <t>서울시어린이병원(동관 옥상2)</t>
  </si>
  <si>
    <t>한성백제박물관</t>
  </si>
  <si>
    <t>장충체육관</t>
  </si>
  <si>
    <t>고척스카이돔</t>
  </si>
  <si>
    <t>지축차량기지 태양광 발전소</t>
  </si>
  <si>
    <t>개화차량기지 태양광 발전소</t>
  </si>
  <si>
    <t>고덕차량기지 태양광 발전소</t>
  </si>
  <si>
    <t>종로구민회관</t>
  </si>
  <si>
    <t>종로문화체육센터</t>
  </si>
  <si>
    <t>중구구립도서관</t>
  </si>
  <si>
    <t>동화나라어린이집</t>
  </si>
  <si>
    <t>필동주민센터</t>
  </si>
  <si>
    <t>마장국민체육센터</t>
  </si>
  <si>
    <t>마장축산물시장 서문 공영주차장</t>
  </si>
  <si>
    <t>성수2가3동 공영주차장</t>
  </si>
  <si>
    <t>광진구 행정차고지</t>
  </si>
  <si>
    <t>용신동주민센터</t>
  </si>
  <si>
    <t>전농2동주민센터</t>
  </si>
  <si>
    <t>장영당길공영주차장</t>
  </si>
  <si>
    <t>청량리동공영주차장</t>
  </si>
  <si>
    <t>장안종합사회복지관</t>
  </si>
  <si>
    <t>중랑구 망우본동 복합청사</t>
  </si>
  <si>
    <t>시네마빌딩 공영주차장</t>
  </si>
  <si>
    <t>안암동청사</t>
  </si>
  <si>
    <t>성북나눔발전소2호(장위빗물펌프장)</t>
  </si>
  <si>
    <t>오동근린배드민턴장</t>
  </si>
  <si>
    <t>구세군길공영주차장</t>
  </si>
  <si>
    <t>송중동공영주차장</t>
  </si>
  <si>
    <t>삼양어린이집</t>
  </si>
  <si>
    <t>은모루경로당</t>
  </si>
  <si>
    <t>도봉햇빛나눔발전소 1호기(초안산 근린공원주차장)</t>
  </si>
  <si>
    <t>도봉기적의도서관</t>
  </si>
  <si>
    <t>방학1동경로당</t>
  </si>
  <si>
    <t>쌍문1동주민센터</t>
  </si>
  <si>
    <t>장수경로당</t>
  </si>
  <si>
    <t>초안산근린공원 관리사무소</t>
  </si>
  <si>
    <t>초안산실내배드민턴장</t>
  </si>
  <si>
    <t>노원고교앞방음벽</t>
  </si>
  <si>
    <t>서울시 상계2동 공공복합청사</t>
  </si>
  <si>
    <t>로보카폴리어린이교통공원교육관</t>
  </si>
  <si>
    <t>불암산스타디움</t>
  </si>
  <si>
    <t>상계숲속작은도서관</t>
  </si>
  <si>
    <t>월계1동어린이집</t>
  </si>
  <si>
    <t>중계행복어린이집</t>
  </si>
  <si>
    <t>중랑천 물놀이장, 중랑천환경센터</t>
  </si>
  <si>
    <t>은평구의회</t>
  </si>
  <si>
    <t>은평문화예술회관</t>
  </si>
  <si>
    <t>신촌동자치회관</t>
  </si>
  <si>
    <t>성산종합사회복지관</t>
  </si>
  <si>
    <t>육아종합지원센터</t>
  </si>
  <si>
    <t>양천구의회</t>
  </si>
  <si>
    <t>양천자원봉사센터</t>
  </si>
  <si>
    <t>양화빗물펌프장</t>
  </si>
  <si>
    <t>해맞이도서관</t>
  </si>
  <si>
    <t>공항동주민센터</t>
  </si>
  <si>
    <t>강서구의회</t>
  </si>
  <si>
    <t>가양도서관</t>
  </si>
  <si>
    <t>가양1동주민센터</t>
  </si>
  <si>
    <t>구로보건소</t>
  </si>
  <si>
    <t>구로희망 햇빛발전소(고척도서관)</t>
  </si>
  <si>
    <t>가산정보도서관</t>
  </si>
  <si>
    <t>구립새롬어린이집</t>
  </si>
  <si>
    <t>금천구 시설관리공단 본부</t>
  </si>
  <si>
    <t>독산1동복지경로당</t>
  </si>
  <si>
    <t>독산1동분소복지관(한내복지관)</t>
  </si>
  <si>
    <t>독산4동 공영주차장</t>
  </si>
  <si>
    <t>선유정보문화도서관</t>
  </si>
  <si>
    <t>문래정보문화도서관</t>
  </si>
  <si>
    <t>신길3동주민센터</t>
  </si>
  <si>
    <t>양평1빗물펌프장</t>
  </si>
  <si>
    <t>싱글벙글교육센터</t>
  </si>
  <si>
    <t>신림체육센터</t>
  </si>
  <si>
    <t>관악문화원도서관(관악문화관)</t>
  </si>
  <si>
    <t>관악보건지소</t>
  </si>
  <si>
    <t>관악문화원(복합시설)</t>
  </si>
  <si>
    <t>서울시인재개발원 주차장 서초태양광발전소</t>
  </si>
  <si>
    <t>송파도서관</t>
  </si>
  <si>
    <t>위례새솔어린이집</t>
  </si>
  <si>
    <t>토성경로당</t>
  </si>
  <si>
    <t>글샘공원힐링충전소</t>
  </si>
  <si>
    <t>마천2동주민센터</t>
  </si>
  <si>
    <t>송파청소년수련관(송파청소년센터)</t>
  </si>
  <si>
    <t>구립은강어린이집</t>
  </si>
  <si>
    <t>강일공영주차장(견인차보관소)</t>
  </si>
  <si>
    <t>고덕1동주민센터</t>
  </si>
  <si>
    <t>고덕2동주민센터</t>
  </si>
  <si>
    <t>곡교구립어린이집</t>
  </si>
  <si>
    <t>암사1동주민센터</t>
  </si>
  <si>
    <t>암사동직장운동부숙소</t>
  </si>
  <si>
    <t>경제정책과</t>
  </si>
  <si>
    <t>한남동공영주차장</t>
  </si>
  <si>
    <t>생활환경과</t>
  </si>
  <si>
    <t>청운복지회관</t>
  </si>
  <si>
    <t>양천주민편익시설</t>
  </si>
  <si>
    <t>주거환경개선과</t>
  </si>
  <si>
    <t>행촌공터 2호</t>
  </si>
  <si>
    <t>행촌공터 3호</t>
  </si>
  <si>
    <t>난곡119안전센터</t>
  </si>
  <si>
    <t>방배119안전센터 옥상</t>
  </si>
  <si>
    <t>북가좌119안전센터 옥상</t>
  </si>
  <si>
    <t>광진교 8번가(교각)</t>
  </si>
  <si>
    <t>뚝섬공원벽천분수태양광</t>
  </si>
  <si>
    <t>뚝섬한강공원 안내센터(수영장그늘막)</t>
  </si>
  <si>
    <t>뚝섬한강공원 안내센터(차량주차장 지붕)</t>
  </si>
  <si>
    <t>한강사업본부 청사(전망데크)</t>
  </si>
  <si>
    <t>데이터센터</t>
  </si>
  <si>
    <t>데이터센터 옥상</t>
  </si>
  <si>
    <t>시설관리공단청사</t>
  </si>
  <si>
    <t>신방화역환승주차장</t>
  </si>
  <si>
    <t>천왕지구7단지아파트</t>
  </si>
  <si>
    <t>서울시복지재단</t>
  </si>
  <si>
    <t>무악동주민센터</t>
  </si>
  <si>
    <t>중림어린이집</t>
  </si>
  <si>
    <t>사근동공공복합청사</t>
  </si>
  <si>
    <t>용답동 공영주차장</t>
  </si>
  <si>
    <t>홍익동 공영주차장</t>
  </si>
  <si>
    <t>다사랑행복센터</t>
  </si>
  <si>
    <t xml:space="preserve">동답공영주차장 </t>
  </si>
  <si>
    <t>강북구의회</t>
  </si>
  <si>
    <t>냉천길공영주차장</t>
  </si>
  <si>
    <t>미아동공영주차장</t>
  </si>
  <si>
    <t>삼양동종합복지센터</t>
  </si>
  <si>
    <t>원송경로당</t>
  </si>
  <si>
    <t>도봉햇빛나눔발전소 2호기(창2동주민센터)</t>
  </si>
  <si>
    <t>무수경로당</t>
  </si>
  <si>
    <t>방학2동경로당</t>
  </si>
  <si>
    <t>방학3동주민센터</t>
  </si>
  <si>
    <t>백운경로당</t>
  </si>
  <si>
    <t>쌍문1동 어린이집</t>
  </si>
  <si>
    <t>원당경로당</t>
  </si>
  <si>
    <t>창3동 어린이집</t>
  </si>
  <si>
    <t>창일경로당</t>
  </si>
  <si>
    <t>도봉시민햇빛나눔발전소2호기(누원고등학교)</t>
  </si>
  <si>
    <t>공릉행복발전소</t>
  </si>
  <si>
    <t>노원50+센터</t>
  </si>
  <si>
    <t>도암경로당(등대프로젝트)</t>
  </si>
  <si>
    <t>보듬이나눔이어린이집</t>
  </si>
  <si>
    <t>불암골행복발전소</t>
  </si>
  <si>
    <t>수락한옥어린이집</t>
  </si>
  <si>
    <t>응암1동주민센터</t>
  </si>
  <si>
    <t>응암2동주민센터</t>
  </si>
  <si>
    <t>개미마을경로당</t>
  </si>
  <si>
    <t>홍은1동제1공영주차장</t>
  </si>
  <si>
    <t>마포구민체육센터2</t>
  </si>
  <si>
    <t>계남다목적체육관</t>
  </si>
  <si>
    <t>신양어르신사랑방</t>
  </si>
  <si>
    <t>용왕어르신사랑방</t>
  </si>
  <si>
    <t>제설및도로유지관리창고</t>
  </si>
  <si>
    <t>강서청소년회관</t>
  </si>
  <si>
    <t>허준박물관</t>
  </si>
  <si>
    <t>구로희망 햇빛발전소2호기(신구로펌프장)</t>
  </si>
  <si>
    <t>박미사랑 마을회관</t>
  </si>
  <si>
    <t>여의도복지센터</t>
  </si>
  <si>
    <t>대림3동경로당</t>
  </si>
  <si>
    <t>양평1동경로당</t>
  </si>
  <si>
    <t>양평4가경로당</t>
  </si>
  <si>
    <t>구립상록어린이집</t>
  </si>
  <si>
    <t>난곡3동 주민센터(난곡동주민센터)</t>
  </si>
  <si>
    <t>하난곡어린이집</t>
  </si>
  <si>
    <t>예술의마을 경로당</t>
  </si>
  <si>
    <t>송파잠실유수지</t>
  </si>
  <si>
    <t>스마트도시담당관</t>
  </si>
  <si>
    <t>에스플렉스센터</t>
  </si>
  <si>
    <t>남부여성발전센터(본관,교육관)</t>
  </si>
  <si>
    <t>서울여성공예센터 더아리움</t>
  </si>
  <si>
    <t>일자리정책과</t>
  </si>
  <si>
    <t>투자창업과</t>
  </si>
  <si>
    <t>서울창업허브(본관)</t>
  </si>
  <si>
    <t>50플러스 남부캠퍼스</t>
  </si>
  <si>
    <t>시립강북노인종합복지관</t>
  </si>
  <si>
    <t>시립용산노인종합복지관</t>
  </si>
  <si>
    <t>잠실철교 남단</t>
  </si>
  <si>
    <t>서울새활용플라자</t>
  </si>
  <si>
    <t>고척119안전센터</t>
  </si>
  <si>
    <t>마포소방서 옥상녹화</t>
  </si>
  <si>
    <t>성동소방서</t>
  </si>
  <si>
    <t>미디어관 태양광 발전설비</t>
  </si>
  <si>
    <t>선유도공원</t>
  </si>
  <si>
    <t>서울교통공사</t>
  </si>
  <si>
    <t>누비어린이집</t>
  </si>
  <si>
    <t>서울에너지공사(서남 열공급시설)</t>
  </si>
  <si>
    <t>서울의료원 2</t>
  </si>
  <si>
    <t>서울평생교육진흥원</t>
  </si>
  <si>
    <t>모두의학교</t>
  </si>
  <si>
    <t>종로1234가동 청사</t>
  </si>
  <si>
    <t>종로노인종합복지관</t>
  </si>
  <si>
    <t>환경미화원휴게소</t>
  </si>
  <si>
    <t>용산장애인복지관</t>
  </si>
  <si>
    <t>금호스포츠센터 배드민턴 전용구장</t>
  </si>
  <si>
    <t>성동구보건소금호분소</t>
  </si>
  <si>
    <t>광진노인종합복지관</t>
  </si>
  <si>
    <t>자양공공힐링센터</t>
  </si>
  <si>
    <t>답십리1동주민센터</t>
  </si>
  <si>
    <t>외대역공영주차장</t>
  </si>
  <si>
    <t>북악경로당</t>
  </si>
  <si>
    <t>삼덕마을주민공동이용시설</t>
  </si>
  <si>
    <t>삼태기마을</t>
  </si>
  <si>
    <t>성북구청사</t>
  </si>
  <si>
    <t>석관실버복지센터</t>
  </si>
  <si>
    <t>삼각산동 복합청사</t>
  </si>
  <si>
    <t>도봉EM센터</t>
  </si>
  <si>
    <t>도봉산공중화장실(여)</t>
  </si>
  <si>
    <t>도봉서원종합복지관</t>
  </si>
  <si>
    <t>도봉장애인종합복지관</t>
  </si>
  <si>
    <t>방아골종합사회복지관</t>
  </si>
  <si>
    <t>쌍문2동어린이집</t>
  </si>
  <si>
    <t>도봉시민햇빛나눔발전소3호기(청소차고지)</t>
  </si>
  <si>
    <t>골마을 근린공원 실험용주택</t>
  </si>
  <si>
    <t>공릉제2빗물펌프장</t>
  </si>
  <si>
    <t>노원아동복지관</t>
  </si>
  <si>
    <t>노원제로에너지센트럴파크</t>
  </si>
  <si>
    <t>불암산더불어숲</t>
  </si>
  <si>
    <t>상계9동주민센터</t>
  </si>
  <si>
    <t>월계문화체육센터 자전거대여소</t>
  </si>
  <si>
    <t>제로에너지주택실증단지</t>
  </si>
  <si>
    <t>노원에코센터 에너지체험놀이터</t>
  </si>
  <si>
    <t>원터행복발전소(구 상계2동청사)</t>
  </si>
  <si>
    <t>정원단지경로당</t>
  </si>
  <si>
    <t>홍은1동제4공영주차장</t>
  </si>
  <si>
    <t>공덕1동노인정</t>
  </si>
  <si>
    <t>마포중앙도서관및청소년교육센터</t>
  </si>
  <si>
    <t>마포창업복지관</t>
  </si>
  <si>
    <t>목사랑시장 고객주차장&amp;공유센터</t>
  </si>
  <si>
    <t>방화1동주민센터</t>
  </si>
  <si>
    <t>구로1빗물펌프장</t>
  </si>
  <si>
    <t>영등포자원순환센터방음벽태양광</t>
  </si>
  <si>
    <t>관악구장애인종합복지관</t>
  </si>
  <si>
    <t>문성지구다목적실내체육관(관악구청,미성체육관)</t>
  </si>
  <si>
    <t>구립운동장 관리동(관악구민운동장)</t>
  </si>
  <si>
    <t>난곡동제1공영주차장</t>
  </si>
  <si>
    <t>돌샘행복마을회관</t>
  </si>
  <si>
    <t>송파보건지소</t>
  </si>
  <si>
    <t>송파교통체험관</t>
  </si>
  <si>
    <t>강동구청제2청사</t>
  </si>
  <si>
    <t>고덕빗물펌프장</t>
  </si>
  <si>
    <t>고덕천 태양광파고라</t>
  </si>
  <si>
    <t>거점성장추진단</t>
  </si>
  <si>
    <t>DMC첨단산업센터</t>
  </si>
  <si>
    <t>서울창업허브(별관)</t>
  </si>
  <si>
    <t>도봉노인종합복지관</t>
  </si>
  <si>
    <t>성동노인종합복지관</t>
  </si>
  <si>
    <t>자활지원과</t>
  </si>
  <si>
    <t>양평쉼터</t>
  </si>
  <si>
    <t>은평의마을(은평의집)</t>
  </si>
  <si>
    <t>버스정책과</t>
  </si>
  <si>
    <t>버스정류장(사당역, ID : 22028)</t>
  </si>
  <si>
    <t>버스정류장(사당자동차학원, ID : 21027)</t>
  </si>
  <si>
    <t>버스정류장(전원마을, 남태령역2번출구, ID : 22026)</t>
  </si>
  <si>
    <t>서부운전면허시험장 본관</t>
  </si>
  <si>
    <t>은평청소년센터</t>
  </si>
  <si>
    <t>시립은혜로운집</t>
  </si>
  <si>
    <t>산새둥지</t>
  </si>
  <si>
    <t>관악소방서</t>
  </si>
  <si>
    <t>노량진119안전센터</t>
  </si>
  <si>
    <t>대림119안전센터</t>
  </si>
  <si>
    <t>봉천119안전센터</t>
  </si>
  <si>
    <t>소방학교</t>
  </si>
  <si>
    <t>수색119안전센터</t>
  </si>
  <si>
    <t>신월119안전센터</t>
  </si>
  <si>
    <t>여의도119안전센터</t>
  </si>
  <si>
    <t>보건환경연구원 본관 증축동</t>
  </si>
  <si>
    <t>강북아리수정수센터</t>
  </si>
  <si>
    <t>강북아리수정수센터(취수장)</t>
  </si>
  <si>
    <t>광암아리수정수센터</t>
  </si>
  <si>
    <t>광암아리수정수센터(주차장)</t>
  </si>
  <si>
    <t>구의아리수정수센터</t>
  </si>
  <si>
    <t>구의아리수정수센터(전기실 옆)</t>
  </si>
  <si>
    <t>남부수도사업소</t>
  </si>
  <si>
    <t>남부수도사업소(금천배수지아리수올림터)</t>
  </si>
  <si>
    <t>남부수도사업소(상도3아리수올림터)</t>
  </si>
  <si>
    <t>암사아리수정수센터</t>
  </si>
  <si>
    <t>암사아리수정수센터(본관동 주차장)</t>
  </si>
  <si>
    <t>영등포아리수정수센터</t>
  </si>
  <si>
    <t>영등포아리수정수센터(탈수기동)</t>
  </si>
  <si>
    <t>강서안내센터</t>
  </si>
  <si>
    <t>한강뚝섬안내센터(벽면)</t>
  </si>
  <si>
    <t>한강야생탐센터(난지캠핑장)</t>
  </si>
  <si>
    <t>평화의공원 휴게음식점 옥상</t>
  </si>
  <si>
    <t>서울식물원</t>
  </si>
  <si>
    <t>서울기록원</t>
  </si>
  <si>
    <t>웃우물노외주차장</t>
  </si>
  <si>
    <t>양천차고지</t>
  </si>
  <si>
    <t>구파발역노외주차장</t>
  </si>
  <si>
    <t>서울어린이대공원(고객안내센터)</t>
  </si>
  <si>
    <t>서울어린이대공원(꿈마루)</t>
  </si>
  <si>
    <t>서울어린이대공원(숲속무대)</t>
  </si>
  <si>
    <t>서울어린이대공원(열대동물관)</t>
  </si>
  <si>
    <t>서울어린이대공원(원숭이마을)</t>
  </si>
  <si>
    <t>중계4단지아파트</t>
  </si>
  <si>
    <t>남산타운아파트</t>
  </si>
  <si>
    <t>돈의문센트레빌215동 임대동</t>
  </si>
  <si>
    <t>백련산힐스테이트2차</t>
  </si>
  <si>
    <t>백련산힐스테이트3차</t>
  </si>
  <si>
    <t>불광롯데캐슬4차아파트(임대201동)</t>
  </si>
  <si>
    <t>옥수레미안 리버젠 2차 아파트</t>
  </si>
  <si>
    <t>청계벽산아파트</t>
  </si>
  <si>
    <t>항동하버라인 11단지</t>
  </si>
  <si>
    <t>행당두산위브아파트</t>
  </si>
  <si>
    <t>행당푸르지오아파트</t>
  </si>
  <si>
    <t>홍제 유원아파트</t>
  </si>
  <si>
    <t>자양고가도로 태양광 발전소</t>
  </si>
  <si>
    <t>서울에너지공사(사옥 별관)</t>
  </si>
  <si>
    <t>부암경로당</t>
  </si>
  <si>
    <t>삼청공원공중화장실1</t>
  </si>
  <si>
    <t>와룡공영주차장</t>
  </si>
  <si>
    <t>인왕산도시자연공원청운화장실</t>
  </si>
  <si>
    <t>착한주차안내소</t>
  </si>
  <si>
    <t>성동안심상가</t>
  </si>
  <si>
    <t>성동종합사회복지관</t>
  </si>
  <si>
    <t>송정빗물펌프장</t>
  </si>
  <si>
    <t>응봉동 공영주차장</t>
  </si>
  <si>
    <t>행당빗물펌프장</t>
  </si>
  <si>
    <t>용두문화복지센터</t>
  </si>
  <si>
    <t>이문체육문화센터</t>
  </si>
  <si>
    <t>중산공영주차장</t>
  </si>
  <si>
    <t>면목2동공영주차장</t>
  </si>
  <si>
    <t>양원숲속도서관</t>
  </si>
  <si>
    <t>푸른샘어린이집</t>
  </si>
  <si>
    <t>벌리교 태양광파고라</t>
  </si>
  <si>
    <t>강북청소년문화정보도서관</t>
  </si>
  <si>
    <t>강북보훈회관</t>
  </si>
  <si>
    <t>번1동주민센터</t>
  </si>
  <si>
    <t>다락원체육공원</t>
  </si>
  <si>
    <t>도깨비시장 고객지원센터</t>
  </si>
  <si>
    <t>도봉1동주민센터</t>
  </si>
  <si>
    <t>도봉여성센터</t>
  </si>
  <si>
    <t>도봉천 농구장 태양광쉼터</t>
  </si>
  <si>
    <t>신우경로당</t>
  </si>
  <si>
    <t>창4동주민센터</t>
  </si>
  <si>
    <t>창동육아종합지원센터</t>
  </si>
  <si>
    <t>효문경로당</t>
  </si>
  <si>
    <t>공릉청소년문화정보센터</t>
  </si>
  <si>
    <t>노원어린이집</t>
  </si>
  <si>
    <t>불암산나비정원</t>
  </si>
  <si>
    <t>불암정보도서관</t>
  </si>
  <si>
    <t>상계청소년문화의집</t>
  </si>
  <si>
    <t>월계문화복지센터</t>
  </si>
  <si>
    <t>창의청솔어린이집</t>
  </si>
  <si>
    <t>총 14개소, 공영주차장 안내부스</t>
  </si>
  <si>
    <t>월계3동어린이집</t>
  </si>
  <si>
    <t>가족통합지원센터</t>
  </si>
  <si>
    <t>구립대조노인복지관</t>
  </si>
  <si>
    <t>은평구청(본관,2호)</t>
  </si>
  <si>
    <t>은평구평생학습관</t>
  </si>
  <si>
    <t>마포구성산1동주민센터</t>
  </si>
  <si>
    <t>마포구종합행정타운(보건소)</t>
  </si>
  <si>
    <t>목동문화체육센터</t>
  </si>
  <si>
    <t>내촌경로당</t>
  </si>
  <si>
    <t>마곡레포츠센터(주차장)</t>
  </si>
  <si>
    <t>신곡경로당</t>
  </si>
  <si>
    <t>가리봉시장</t>
  </si>
  <si>
    <t>궁동어린이도서관</t>
  </si>
  <si>
    <t>금나래중앙공원(금천커뮤니티센터)</t>
  </si>
  <si>
    <t>금천구 종합청사 3</t>
  </si>
  <si>
    <t>금천마을예술창작소 어울샘</t>
  </si>
  <si>
    <t>독산2동주민센터</t>
  </si>
  <si>
    <t>구립영등포노인케어센터</t>
  </si>
  <si>
    <t>영등포구청(별관청사)</t>
  </si>
  <si>
    <t>자원순환센터</t>
  </si>
  <si>
    <t>도림동배드민턴전용실내체육관</t>
  </si>
  <si>
    <t>도림2빗물펌프장</t>
  </si>
  <si>
    <t>양평2동주민센터</t>
  </si>
  <si>
    <t>양평2빗물펌프장</t>
  </si>
  <si>
    <t>동작구민체육센터</t>
  </si>
  <si>
    <t>흑석동 구립큰별어린이집</t>
  </si>
  <si>
    <t>보라매제1공영주차장</t>
  </si>
  <si>
    <t>신림동공영주차장</t>
  </si>
  <si>
    <t>원신공영주차장</t>
  </si>
  <si>
    <t>관악산제2구립운동장화장실</t>
  </si>
  <si>
    <t>난곡공원화장실</t>
  </si>
  <si>
    <t>장군봉근린공원화장실</t>
  </si>
  <si>
    <t>내곡열린문화센터</t>
  </si>
  <si>
    <t>반포3동주민센터</t>
  </si>
  <si>
    <t>강남환경자원센터</t>
  </si>
  <si>
    <t>가락1동주민센터</t>
  </si>
  <si>
    <t>구립송파노인요양센터</t>
  </si>
  <si>
    <t>남천경로당</t>
  </si>
  <si>
    <t>자원순환공원</t>
  </si>
  <si>
    <t>상일동주민센터</t>
  </si>
  <si>
    <t>성내빗물펌프장</t>
  </si>
  <si>
    <t>노동정책담당관</t>
  </si>
  <si>
    <t>전태일 노동복합시설</t>
  </si>
  <si>
    <t>서울바이오허브 연구실험동</t>
  </si>
  <si>
    <t>서울바이오허브 지역열림동</t>
  </si>
  <si>
    <t>시립구로노인종합복지관</t>
  </si>
  <si>
    <t>서울시립북부장애인종합복지관</t>
  </si>
  <si>
    <t>서울역사박물관</t>
  </si>
  <si>
    <t>월드컵공원(솔라스퀘어)</t>
  </si>
  <si>
    <t>강서인터넷중독센터</t>
  </si>
  <si>
    <t>시립노원청소년직업체험센터</t>
  </si>
  <si>
    <t>해오름마을주민공동이용시설</t>
  </si>
  <si>
    <t>서초119안내센터</t>
  </si>
  <si>
    <t>신도림119안전센터</t>
  </si>
  <si>
    <t>상암119안전센터</t>
  </si>
  <si>
    <t>발산119안전센터</t>
  </si>
  <si>
    <t>용산소방서</t>
  </si>
  <si>
    <t>수락119안전센터</t>
  </si>
  <si>
    <t>공릉119안전센터</t>
  </si>
  <si>
    <t>강서수도사업소</t>
  </si>
  <si>
    <t>강서수도사업소 청사 옥상</t>
  </si>
  <si>
    <t>뚝도아리수정수센터 송수펌프동</t>
  </si>
  <si>
    <t xml:space="preserve">뚝도아리수정수센터 </t>
  </si>
  <si>
    <t xml:space="preserve">암사아리수정수센터 관리본관 </t>
  </si>
  <si>
    <t>영등포아리수정수센터 풍납취수장</t>
  </si>
  <si>
    <t>영등포아리수정수센터 병물동</t>
  </si>
  <si>
    <t>서울시립미술관</t>
  </si>
  <si>
    <t>남부도로관리사업소</t>
  </si>
  <si>
    <t>신원지하차도</t>
  </si>
  <si>
    <t>서부도로사업소 본관 뒤편</t>
  </si>
  <si>
    <t>서부수도사업소</t>
  </si>
  <si>
    <t>북악터널배수지</t>
  </si>
  <si>
    <t>보라매공원정문주차장</t>
  </si>
  <si>
    <t>율현공원 근린공원4호 휴게실2</t>
  </si>
  <si>
    <t>월드컵공원노을공원주차장</t>
  </si>
  <si>
    <t>강서공영차고지 옥상</t>
  </si>
  <si>
    <t>서울어린이대공원 식물원 옥상</t>
  </si>
  <si>
    <t>신내동 640행복주택</t>
  </si>
  <si>
    <t>삼각산아이원 아파트 121동, 122동</t>
  </si>
  <si>
    <t>월곡3 SH빌아파트 127동</t>
  </si>
  <si>
    <t>길음7구역 두산위브아파트 707동</t>
  </si>
  <si>
    <t>관악벽산2단지</t>
  </si>
  <si>
    <t>시흥벽산6단지</t>
  </si>
  <si>
    <t>마장SH빌아파트 관리사무소</t>
  </si>
  <si>
    <t xml:space="preserve">천왕지구8단지도시형생활주택 </t>
  </si>
  <si>
    <t>세곡리엔파크4단지아파트</t>
  </si>
  <si>
    <t>개화역환승센터 태양광발전소</t>
  </si>
  <si>
    <t>성수1호 태양광 발전소</t>
  </si>
  <si>
    <t>서울문화재단</t>
  </si>
  <si>
    <t>서울거리예술창작센터</t>
  </si>
  <si>
    <t>남산실버복지센터</t>
  </si>
  <si>
    <t>중구종합복지센터</t>
  </si>
  <si>
    <t>대현산공원관리사무소</t>
  </si>
  <si>
    <t>응봉산 암벽 관리사무소</t>
  </si>
  <si>
    <t>성수2가1동공영주차장</t>
  </si>
  <si>
    <t>금호어린이집</t>
  </si>
  <si>
    <t>송화어린이집</t>
  </si>
  <si>
    <t>대현산체육관</t>
  </si>
  <si>
    <t>능동공영주차장</t>
  </si>
  <si>
    <t>자양종합사회복지관</t>
  </si>
  <si>
    <t>동대문구창업지원센터</t>
  </si>
  <si>
    <t>신내3지구공원녹지사무소</t>
  </si>
  <si>
    <t>소리어린이집</t>
  </si>
  <si>
    <t>우이동먹거리마을태양광쉼터</t>
  </si>
  <si>
    <t>오동근린공원배드민턴장</t>
  </si>
  <si>
    <t>쌍문채움도서관</t>
  </si>
  <si>
    <t>쌍문제3동주민센터</t>
  </si>
  <si>
    <t>창5동주민센터</t>
  </si>
  <si>
    <t>방학2동숲속마을</t>
  </si>
  <si>
    <t>상계 보훈회관 옥상</t>
  </si>
  <si>
    <t>서대문구 육아종합지원센터</t>
  </si>
  <si>
    <t>궁동근린공원실내체육관</t>
  </si>
  <si>
    <t>공덕1동어린이집</t>
  </si>
  <si>
    <t>연서 경로당</t>
  </si>
  <si>
    <t>상암경로문화센터</t>
  </si>
  <si>
    <t>중동어린이집</t>
  </si>
  <si>
    <t>서강어린이집</t>
  </si>
  <si>
    <t>서림경로당</t>
  </si>
  <si>
    <t>아현어린이집</t>
  </si>
  <si>
    <t>성산유수지(성산빗물펌프장)</t>
  </si>
  <si>
    <t>푸르메어린이재활병원</t>
  </si>
  <si>
    <t>양천어르신종합복지관</t>
  </si>
  <si>
    <t>마곡레포츠센터(실내배드민턴장)</t>
  </si>
  <si>
    <t>구로3빗물펌프장</t>
  </si>
  <si>
    <t>시흥2동경로당(산장경로당)</t>
  </si>
  <si>
    <t>금천어르신복지센터(신축)</t>
  </si>
  <si>
    <t>금천구 보훈회관 옥상</t>
  </si>
  <si>
    <t>목화경로당</t>
  </si>
  <si>
    <t>철쭉경로당</t>
  </si>
  <si>
    <t>대림2동주민공동이용시설</t>
  </si>
  <si>
    <t>관악구보훈회관</t>
  </si>
  <si>
    <t>문성지구다목적실내체육관(미성체육관)</t>
  </si>
  <si>
    <t>관악구청 2층 쉼터</t>
  </si>
  <si>
    <t>서초4동복합주민센터</t>
  </si>
  <si>
    <t>강남문화재단(세곡동주민센터)</t>
  </si>
  <si>
    <t>송파제1경로당</t>
  </si>
  <si>
    <t>청소년 문화의 집(잠실청소년센터)</t>
  </si>
  <si>
    <t>능골근린공원</t>
  </si>
  <si>
    <t>일자산 태양광발전설비(캠핑장 주차장 관리실, 2체육관 주차장)</t>
  </si>
  <si>
    <t>신월6동 마을사랑주차장</t>
  </si>
  <si>
    <t>금하새빛어린이집</t>
  </si>
  <si>
    <t>읍내경로당</t>
  </si>
  <si>
    <t>청춘빌딩</t>
  </si>
  <si>
    <t>구립어울림경로당</t>
  </si>
  <si>
    <t>관리번호</t>
    <phoneticPr fontId="3" type="noConversion"/>
  </si>
  <si>
    <t>여성보호센터</t>
  </si>
  <si>
    <t xml:space="preserve">신도림빗물펌프장 </t>
  </si>
  <si>
    <t>강북문화정보도서관</t>
  </si>
  <si>
    <t>강북아리수정수센터 (송수펌프동)</t>
  </si>
  <si>
    <t>강북문화예술회관</t>
  </si>
  <si>
    <t xml:space="preserve">뚝도아리수정수센터 자양취수장 </t>
  </si>
  <si>
    <t xml:space="preserve">뚝도아리수정수센터 탈수기동 </t>
  </si>
  <si>
    <t xml:space="preserve">암사아리수정수센터 취수펌프장 </t>
  </si>
  <si>
    <t xml:space="preserve">영등포아리수정수센터 2정수장 활성탄흡착지 </t>
  </si>
  <si>
    <t xml:space="preserve">영등포아리수정수센터 1정수장 송수펌프장 </t>
  </si>
  <si>
    <t>우이신설도시철도 차량기지</t>
  </si>
  <si>
    <t>서울어린이대공원 바다동물관 옥상</t>
    <phoneticPr fontId="3" type="noConversion"/>
  </si>
  <si>
    <t>버스정류장(사당역, ID : 21028)</t>
  </si>
  <si>
    <t>중앙버스정류소2개소(석촌역, ID : 24005, 24006)</t>
  </si>
  <si>
    <t>설치비
[백만원]</t>
    <phoneticPr fontId="3" type="noConversion"/>
  </si>
  <si>
    <t>약수데이케어센터</t>
  </si>
  <si>
    <t>성대경로당</t>
  </si>
  <si>
    <t>상도어린이집</t>
  </si>
  <si>
    <t>노량진공원화장실</t>
  </si>
  <si>
    <t>예담어린이집</t>
  </si>
  <si>
    <t>다울작은도서관</t>
  </si>
  <si>
    <t>선재어린이집</t>
  </si>
  <si>
    <t>동작구보육정보센터(동작구육아종합지원센터)</t>
  </si>
  <si>
    <t>뚝도정수장 여과지동</t>
  </si>
  <si>
    <t>서교동주민센터</t>
  </si>
  <si>
    <t>마포청소년문화의집</t>
  </si>
  <si>
    <t>와우산배드민턴장</t>
  </si>
  <si>
    <t>빗물펌프장(당인)</t>
  </si>
  <si>
    <t>마포구민체육센터1</t>
  </si>
  <si>
    <t>북가좌1동주민센터</t>
  </si>
  <si>
    <t>홍은1동자치회관</t>
  </si>
  <si>
    <t>충현동자치회관</t>
  </si>
  <si>
    <t>서대문지역자활센터</t>
  </si>
  <si>
    <t>평화의주차장 파고라</t>
  </si>
  <si>
    <t>월드컵공원(노을주차장 주변)</t>
  </si>
  <si>
    <t>서북병원</t>
  </si>
  <si>
    <t>서울디자인재단</t>
  </si>
  <si>
    <t>서울디자인재단(DDP) 동대문디자인플라자</t>
  </si>
  <si>
    <t>서울시립과학관</t>
  </si>
  <si>
    <t>서울과학관(배밭꽃농원)</t>
  </si>
  <si>
    <t>서울시립북서울미술관</t>
  </si>
  <si>
    <t>은평구</t>
    <phoneticPr fontId="12" type="noConversion"/>
  </si>
  <si>
    <t>진관동주민센터</t>
    <phoneticPr fontId="3" type="noConversion"/>
  </si>
  <si>
    <t>은평구 진관2로 31 (진관동78)</t>
    <phoneticPr fontId="12" type="noConversion"/>
  </si>
  <si>
    <t>구조물</t>
  </si>
  <si>
    <t>은평구 통일로89길 12-6</t>
  </si>
  <si>
    <t>은평구 갈현동 연서로27길 31-6</t>
  </si>
  <si>
    <t>신사1동 주민자치센터</t>
    <phoneticPr fontId="3" type="noConversion"/>
  </si>
  <si>
    <t>은평구 은평로2길 (신사동29-2)</t>
    <phoneticPr fontId="12" type="noConversion"/>
  </si>
  <si>
    <t>은평구 은평로 195</t>
  </si>
  <si>
    <t>은평구 백련산로14길 20-11</t>
  </si>
  <si>
    <t>은평구 연서로 59</t>
  </si>
  <si>
    <t>역사한옥박물관</t>
    <phoneticPr fontId="3" type="noConversion"/>
  </si>
  <si>
    <t>연서로50길 8 (진관동 135-5)</t>
    <phoneticPr fontId="12" type="noConversion"/>
  </si>
  <si>
    <t>시설노후</t>
    <phoneticPr fontId="3" type="noConversion"/>
  </si>
  <si>
    <t>응암산골드림e</t>
    <phoneticPr fontId="3" type="noConversion"/>
  </si>
  <si>
    <t>은평구 통일로 579-20</t>
  </si>
  <si>
    <t>은평구 역말로9길 27</t>
  </si>
  <si>
    <t>13-412-001</t>
  </si>
  <si>
    <t>구산보건지소</t>
    <phoneticPr fontId="3" type="noConversion"/>
  </si>
  <si>
    <t>은평구 연서로13길29-23 (구산동 17-33)</t>
  </si>
  <si>
    <t>은평구 녹번동 86-157</t>
  </si>
  <si>
    <t>구산동도서관마을</t>
    <phoneticPr fontId="3" type="noConversion"/>
  </si>
  <si>
    <t>은평구연서로13길29-23 (구산동 17-37)</t>
  </si>
  <si>
    <t>은평구 백련산로 179</t>
  </si>
  <si>
    <t>역촌2동어린이집</t>
    <phoneticPr fontId="3" type="noConversion"/>
  </si>
  <si>
    <t>서울시 은평구 연서로3길 14-5</t>
  </si>
  <si>
    <t>구립구산어린이집및경로당</t>
    <phoneticPr fontId="3" type="noConversion"/>
  </si>
  <si>
    <t>서울 은평구 서오릉로21길 11-8 (구산동)</t>
  </si>
  <si>
    <t>은평구 녹번로 16</t>
  </si>
  <si>
    <t>응암3동주민센터</t>
    <phoneticPr fontId="3" type="noConversion"/>
  </si>
  <si>
    <t>은평구 불광천길 410-17</t>
    <phoneticPr fontId="3" type="noConversion"/>
  </si>
  <si>
    <t>녹번산골드림e</t>
    <phoneticPr fontId="3" type="noConversion"/>
  </si>
  <si>
    <t>은평구 통일로 578-27</t>
  </si>
  <si>
    <t>구립응암노인복지관</t>
    <phoneticPr fontId="3" type="noConversion"/>
  </si>
  <si>
    <t>은평구 응암로21가길 5-1</t>
  </si>
  <si>
    <t>은평구 서오릉로 87</t>
  </si>
  <si>
    <t>13-412-002</t>
  </si>
  <si>
    <t>은평구 진관1로 40</t>
  </si>
  <si>
    <t>은평구 백련산로 100</t>
  </si>
  <si>
    <t>불광천 생태에너지체험장 옥외분수대 상단</t>
    <phoneticPr fontId="3" type="noConversion"/>
  </si>
  <si>
    <t>은평구 응암동 114-9</t>
  </si>
  <si>
    <t>수색동주민센터</t>
    <phoneticPr fontId="3" type="noConversion"/>
  </si>
  <si>
    <t>은평구 수색로 280</t>
  </si>
  <si>
    <t>종로구 평창문화로 65</t>
    <phoneticPr fontId="3" type="noConversion"/>
  </si>
  <si>
    <t>종로구 지봉로5길 7-5</t>
  </si>
  <si>
    <t>종로구 신문로2가 154</t>
  </si>
  <si>
    <t>종로구 삼청동 105-1</t>
  </si>
  <si>
    <t>종로구육아종합지원센터</t>
    <phoneticPr fontId="3" type="noConversion"/>
  </si>
  <si>
    <t>종로구 명륜3가 147-1</t>
  </si>
  <si>
    <t>종로구 청운동 6-3</t>
  </si>
  <si>
    <t>종로구 이화동25-1</t>
  </si>
  <si>
    <t>종로구 무악동 79</t>
  </si>
  <si>
    <t>종로구 창신동 23-344</t>
  </si>
  <si>
    <t>종로구 혜화동 74-30</t>
  </si>
  <si>
    <t>종로구 신교동 66</t>
  </si>
  <si>
    <t>종로구 인왕산로1길 21</t>
  </si>
  <si>
    <t>종로구 통일로14길 30</t>
  </si>
  <si>
    <t>종로구 북촌로134-3</t>
  </si>
  <si>
    <t>종로구 청운동 7-27</t>
    <phoneticPr fontId="3" type="noConversion"/>
  </si>
  <si>
    <t>종로구 삼일대로30길 47</t>
  </si>
  <si>
    <t>종로구 명륜길 28</t>
  </si>
  <si>
    <t>종로구 이화동 2501</t>
  </si>
  <si>
    <t>종로구 통일로14길 36</t>
  </si>
  <si>
    <t>종로구 자하문로 260</t>
    <phoneticPr fontId="3" type="noConversion"/>
  </si>
  <si>
    <t>종로구 율곡로19길 17-8</t>
  </si>
  <si>
    <t>종로구 무악동 46-1902</t>
  </si>
  <si>
    <t>BIPV</t>
  </si>
  <si>
    <t>종로구 행촌동 210-333</t>
  </si>
  <si>
    <t>BIPV</t>
    <phoneticPr fontId="3" type="noConversion"/>
  </si>
  <si>
    <t>주거환경개선과</t>
    <phoneticPr fontId="3" type="noConversion"/>
  </si>
  <si>
    <t>중구 신당동 432-173</t>
  </si>
  <si>
    <t>은평구 가좌로11나길 19</t>
    <phoneticPr fontId="3" type="noConversion"/>
  </si>
  <si>
    <t>양천구 신목로 16길 27</t>
  </si>
  <si>
    <t>중구 다산로38길 66-35</t>
  </si>
  <si>
    <t>중구 흥인동 131</t>
  </si>
  <si>
    <t>중구 중림동 155-1</t>
  </si>
  <si>
    <t>중구 을지로 227</t>
  </si>
  <si>
    <t>중구 만리재로35길 12</t>
    <phoneticPr fontId="3" type="noConversion"/>
  </si>
  <si>
    <t>중구 장충단로8길 22</t>
  </si>
  <si>
    <t>중구 동호로14길 18</t>
  </si>
  <si>
    <t>서울시 중구 퇴계로 460</t>
  </si>
  <si>
    <t>퇴계로36길 42</t>
  </si>
  <si>
    <t>중구 다산로38길 80</t>
  </si>
  <si>
    <t>중랑구 신내로15길 175</t>
  </si>
  <si>
    <t>중랑구 망우로67길 10</t>
  </si>
  <si>
    <t>중랑구 신내역로1길 136</t>
  </si>
  <si>
    <t>중랑구 용마산로94길 98</t>
  </si>
  <si>
    <t>중랑구 겸재로23길 27</t>
  </si>
  <si>
    <t>중랑구 송림길 172</t>
  </si>
  <si>
    <t>중랑물재생센터(2)</t>
    <phoneticPr fontId="3" type="noConversion"/>
  </si>
  <si>
    <t>성동구 송정동 73</t>
  </si>
  <si>
    <t>중랑물재생센터(1)</t>
    <phoneticPr fontId="3" type="noConversion"/>
  </si>
  <si>
    <t>도봉구 마들로 916</t>
  </si>
  <si>
    <t>북서울꿈의숲(주차장)</t>
    <phoneticPr fontId="3" type="noConversion"/>
  </si>
  <si>
    <t>강북구 월계로 173</t>
  </si>
  <si>
    <t>중랑구 망우로87길 110</t>
  </si>
  <si>
    <t>북서울꿈의숲(아트센터)</t>
    <phoneticPr fontId="3" type="noConversion"/>
  </si>
  <si>
    <t>강북구 월계로173</t>
  </si>
  <si>
    <t>중부공원녹지사업소</t>
    <phoneticPr fontId="3" type="noConversion"/>
  </si>
  <si>
    <t>중구 삼일대로231</t>
  </si>
  <si>
    <t>성북구 장위동 135-2(성북구 한천로 95길7)</t>
  </si>
  <si>
    <t>기타</t>
  </si>
  <si>
    <t>강북구 수유동 535-380</t>
  </si>
  <si>
    <t>강서구 곰달래로 57가길 26</t>
    <phoneticPr fontId="3" type="noConversion"/>
  </si>
  <si>
    <t>영등포구 문래로 110</t>
  </si>
  <si>
    <t>청소년정책과</t>
    <phoneticPr fontId="3" type="noConversion"/>
  </si>
  <si>
    <t>광진구 구천면로 2</t>
  </si>
  <si>
    <t>강동구 아리수로 93길 47</t>
  </si>
  <si>
    <t>13-026-002</t>
  </si>
  <si>
    <t>중랑구 용마산로 217</t>
  </si>
  <si>
    <t>중구 예장동 산4-5</t>
  </si>
  <si>
    <t>영등포구 영신로 200</t>
  </si>
  <si>
    <t>하이서울유스호스텔</t>
    <phoneticPr fontId="3" type="noConversion"/>
  </si>
  <si>
    <t>서울시 영등포구 영등포동7가 영신로 200</t>
  </si>
  <si>
    <t>중구 을지로11길 23</t>
  </si>
  <si>
    <t>은평구 백련산로4길 16</t>
  </si>
  <si>
    <t>강서구 우장산로 117</t>
  </si>
  <si>
    <t>송파구 잠실동 10-1</t>
  </si>
  <si>
    <t>13-122-001</t>
  </si>
  <si>
    <t>송파구 올림픽로 25</t>
  </si>
  <si>
    <t>시설정비</t>
    <phoneticPr fontId="3" type="noConversion"/>
  </si>
  <si>
    <t>양천구 안양천로 939</t>
  </si>
  <si>
    <t>효창운동장(1)</t>
    <phoneticPr fontId="3" type="noConversion"/>
  </si>
  <si>
    <t>용산구 효창원로 177-15</t>
  </si>
  <si>
    <t>효창운동장(2)</t>
    <phoneticPr fontId="3" type="noConversion"/>
  </si>
  <si>
    <t>중구 세종대로 110</t>
  </si>
  <si>
    <t>서소문청사 1동(1)</t>
    <phoneticPr fontId="3" type="noConversion"/>
  </si>
  <si>
    <t>중구 덕수궁길 15</t>
  </si>
  <si>
    <t>서소문청사 2동(1)</t>
    <phoneticPr fontId="3" type="noConversion"/>
  </si>
  <si>
    <t>13-024-001</t>
  </si>
  <si>
    <t>종로구 송월길 52</t>
  </si>
  <si>
    <t>서소문청사 2동(2)</t>
    <phoneticPr fontId="3" type="noConversion"/>
  </si>
  <si>
    <t>중구 덕수궁길15</t>
  </si>
  <si>
    <t>서소문청사 1동(2)</t>
    <phoneticPr fontId="3" type="noConversion"/>
  </si>
  <si>
    <t>투자창업과</t>
    <phoneticPr fontId="3" type="noConversion"/>
  </si>
  <si>
    <t>서울시 동대문구 회기로 117-3 (서울바이오허브)</t>
  </si>
  <si>
    <t>마포구 백범로31길 21</t>
  </si>
  <si>
    <t>코로나19 휴관</t>
  </si>
  <si>
    <t>관악구 낙성대로 70</t>
  </si>
  <si>
    <t>하천관리과</t>
    <phoneticPr fontId="3" type="noConversion"/>
  </si>
  <si>
    <t>목동재난체험관</t>
    <phoneticPr fontId="3" type="noConversion"/>
  </si>
  <si>
    <t>양천구 안양천로 909</t>
    <phoneticPr fontId="3" type="noConversion"/>
  </si>
  <si>
    <t>한강사업본부</t>
    <phoneticPr fontId="3" type="noConversion"/>
  </si>
  <si>
    <t>강동구 천호동 522-10</t>
  </si>
  <si>
    <t>광진구 자양동 427-1</t>
  </si>
  <si>
    <t>서초구 잠원로 221-124</t>
  </si>
  <si>
    <t>서초구 신반포로11길</t>
  </si>
  <si>
    <t>영등포구 여의동산로 48</t>
  </si>
  <si>
    <t>13-112-001</t>
  </si>
  <si>
    <t>마포구 한강난지로 162</t>
  </si>
  <si>
    <t>광진구 자양동 112</t>
  </si>
  <si>
    <t>광진구 자양동 701</t>
  </si>
  <si>
    <t>김포시 고촌면 신곡리 1051</t>
  </si>
  <si>
    <t>광진구 강변북로 139</t>
  </si>
  <si>
    <t>광진구 자양동 427-6</t>
  </si>
  <si>
    <t>성동구 강변북로 257</t>
  </si>
  <si>
    <t>광나루안내센터(2)</t>
    <phoneticPr fontId="3" type="noConversion"/>
  </si>
  <si>
    <t>강동구 선사로 83-66</t>
  </si>
  <si>
    <t>강서구 양천로 27길 279-23</t>
  </si>
  <si>
    <t>마포구 한강난지로22</t>
  </si>
  <si>
    <t>서초구 반포동 115-5</t>
  </si>
  <si>
    <t>송파구 위례성대로 71 방이동 88-20 한성백제박물관</t>
  </si>
  <si>
    <t>송파구 올림픽로 424</t>
  </si>
  <si>
    <t>마포구 증산로 14</t>
  </si>
  <si>
    <t>동대문구 답십리로 69길 106</t>
  </si>
  <si>
    <t>강남구 남부순환로378길 34-9</t>
  </si>
  <si>
    <t>강남구 봉은사로 616</t>
  </si>
  <si>
    <t>강남구 봉은사로 332</t>
  </si>
  <si>
    <t>강남구 대치동 3-3</t>
  </si>
  <si>
    <t>강남구 학동로 426</t>
  </si>
  <si>
    <t>강남구 도곡로18길 57</t>
  </si>
  <si>
    <t>13-423-001</t>
  </si>
  <si>
    <t>강남구 영동대로 65길 24</t>
  </si>
  <si>
    <t>강남구 세곡동 202번지</t>
  </si>
  <si>
    <t>강남구 율현동 141-16</t>
  </si>
  <si>
    <t>강남구 밤고개로 286</t>
  </si>
  <si>
    <t>강동구 양재대로 103길 28</t>
  </si>
  <si>
    <t>강동구 성내로3가길 71</t>
  </si>
  <si>
    <t>강동구 상암로 168</t>
  </si>
  <si>
    <t>강동구 상암로3길 28</t>
  </si>
  <si>
    <t>강동구 성내동 540</t>
  </si>
  <si>
    <t>강동구 동남로 870</t>
  </si>
  <si>
    <t>강동아트센터(2)</t>
    <phoneticPr fontId="3" type="noConversion"/>
  </si>
  <si>
    <t>서울 강동구 동남로 870 (상일동)</t>
  </si>
  <si>
    <t>강동구 고덕동 108</t>
  </si>
  <si>
    <t>송파구 방이동 8-13</t>
  </si>
  <si>
    <t>강동구 구천면로 633</t>
  </si>
  <si>
    <t>강동구 동남로 660</t>
  </si>
  <si>
    <t>강동구 암사1동 452-20</t>
  </si>
  <si>
    <t>아리수로93길 9-14</t>
  </si>
  <si>
    <t>성내도서관</t>
    <phoneticPr fontId="3" type="noConversion"/>
  </si>
  <si>
    <t>강동구 성내로 25</t>
  </si>
  <si>
    <t>13-425-003</t>
  </si>
  <si>
    <t>강동구 성내로 13(성내동)</t>
  </si>
  <si>
    <t>13-425-002</t>
  </si>
  <si>
    <t>13-425-001</t>
  </si>
  <si>
    <t>강동구 성내로 45</t>
  </si>
  <si>
    <t>13-425-004</t>
  </si>
  <si>
    <t>강동구 고덕로24길 49</t>
  </si>
  <si>
    <t>빗살어린이집</t>
    <phoneticPr fontId="3" type="noConversion"/>
  </si>
  <si>
    <t>구천면로 17길 22</t>
    <phoneticPr fontId="3" type="noConversion"/>
  </si>
  <si>
    <t>강동구 상일동 491</t>
  </si>
  <si>
    <t>강동구 강일동 736</t>
  </si>
  <si>
    <t>강동보훈회관</t>
    <phoneticPr fontId="3" type="noConversion"/>
  </si>
  <si>
    <t>강동구 둔촌동 133-10</t>
  </si>
  <si>
    <t>강동구 강일동 291-3</t>
  </si>
  <si>
    <t>강동구 양재대로156길 123</t>
  </si>
  <si>
    <t>강동구</t>
    <phoneticPr fontId="3" type="noConversion"/>
  </si>
  <si>
    <t>강동구 아리수로78길 43-12</t>
  </si>
  <si>
    <t>강동구 천중로12길 23-40</t>
  </si>
  <si>
    <t>강동구 올림픽로98가길 57</t>
  </si>
  <si>
    <t>강동구 올림픽로 112길 8</t>
  </si>
  <si>
    <t>천호1동주민센터</t>
    <phoneticPr fontId="3" type="noConversion"/>
  </si>
  <si>
    <t>강동구 천호동 76-2</t>
  </si>
  <si>
    <t>강동구 구천면로 395</t>
  </si>
  <si>
    <t>한마을어린이집</t>
    <phoneticPr fontId="3" type="noConversion"/>
  </si>
  <si>
    <t xml:space="preserve">강동구 상일동 337-2 </t>
    <phoneticPr fontId="3" type="noConversion"/>
  </si>
  <si>
    <t>신규</t>
    <phoneticPr fontId="3" type="noConversion"/>
  </si>
  <si>
    <t>20-425-002</t>
    <phoneticPr fontId="3" type="noConversion"/>
  </si>
  <si>
    <t>길동복합청사</t>
    <phoneticPr fontId="3" type="noConversion"/>
  </si>
  <si>
    <t>20-425-001</t>
    <phoneticPr fontId="3" type="noConversion"/>
  </si>
  <si>
    <t xml:space="preserve">둔촌도서관 </t>
    <phoneticPr fontId="3" type="noConversion"/>
  </si>
  <si>
    <t>동남로49길 21-8</t>
    <phoneticPr fontId="3" type="noConversion"/>
  </si>
  <si>
    <t>서울시 강동구 둔촌동 산125번지 일원</t>
  </si>
  <si>
    <t>강북구 삼각산로 89</t>
  </si>
  <si>
    <t>강북구 삼양로47길 9</t>
  </si>
  <si>
    <t>강북구 오패산로 156-3</t>
  </si>
  <si>
    <t>강북구 오현로 145</t>
  </si>
  <si>
    <t>강북구 번동 265</t>
  </si>
  <si>
    <t>강북구 삼양로54길 68</t>
  </si>
  <si>
    <t>강북구 삼각산로 85</t>
  </si>
  <si>
    <t>강북구 도봉로69길 29</t>
  </si>
  <si>
    <t>강북구 삼양로64길 32014</t>
  </si>
  <si>
    <t>강북구 도봉로95길 38-1</t>
  </si>
  <si>
    <t>강북구 삼양로 230-12</t>
  </si>
  <si>
    <t>강북구 도봉로61길 46</t>
  </si>
  <si>
    <t>강북실버종합복지센터</t>
    <phoneticPr fontId="3" type="noConversion"/>
  </si>
  <si>
    <t>강북구 오패산로 290</t>
  </si>
  <si>
    <t>강북구 덕릉로41길 74</t>
  </si>
  <si>
    <t>강북구 삼양로138길 18</t>
  </si>
  <si>
    <t>강북구 삼양로 299</t>
  </si>
  <si>
    <t>강북구 덕릉로42길 49</t>
  </si>
  <si>
    <t>강북구 오패산로 290-1</t>
  </si>
  <si>
    <t>강북구 인수봉로66길 9</t>
  </si>
  <si>
    <t>13-409-001</t>
  </si>
  <si>
    <t>강북구 솔매로49길 14</t>
  </si>
  <si>
    <t>강북구 인수봉로20가길 21</t>
  </si>
  <si>
    <t>강북구 월계로7길 36</t>
  </si>
  <si>
    <t>강북구 삼양로19길 34</t>
  </si>
  <si>
    <t>13-409-002</t>
  </si>
  <si>
    <t>강북구 오현로21길 84</t>
  </si>
  <si>
    <t xml:space="preserve">강북정수센터 탈수기동 옥상 </t>
    <phoneticPr fontId="3" type="noConversion"/>
  </si>
  <si>
    <t>경기 남양주시 고산로 171</t>
  </si>
  <si>
    <t>강서구 강서로5길 50</t>
  </si>
  <si>
    <t>13-416-004</t>
  </si>
  <si>
    <t>강서구 내발동 681-5</t>
  </si>
  <si>
    <t>13-416-001</t>
  </si>
  <si>
    <t>강서구 강서로12길 14</t>
  </si>
  <si>
    <t>13-416-002</t>
  </si>
  <si>
    <t>강서구 등촌로5길 6204</t>
  </si>
  <si>
    <t>13-416-003</t>
  </si>
  <si>
    <t>강서구 강서로 263029</t>
  </si>
  <si>
    <t>강서구 양천로59길 38</t>
  </si>
  <si>
    <t>강서구 방화대로 334</t>
  </si>
  <si>
    <t>강서구립 해바라기어린이집</t>
    <phoneticPr fontId="3" type="noConversion"/>
  </si>
  <si>
    <t>강서구 등촌로13자길 39-16</t>
  </si>
  <si>
    <t>강서구 송정로 45</t>
  </si>
  <si>
    <t>강서구 등촌로 185</t>
  </si>
  <si>
    <t>강서구 양천로61길 101</t>
  </si>
  <si>
    <t>강서구 허준로 30</t>
  </si>
  <si>
    <t>강서구 공항대로42길 23-19</t>
  </si>
  <si>
    <t>케이블</t>
  </si>
  <si>
    <t>강서구 허준로 87</t>
  </si>
  <si>
    <t>강서구 방화대로 330</t>
  </si>
  <si>
    <t>강서구 개화동로13길 12-8</t>
  </si>
  <si>
    <t>강서구 양천로251</t>
  </si>
  <si>
    <t>강서구 화곡동 466-9</t>
  </si>
  <si>
    <t>마곡동 양천로 251</t>
  </si>
  <si>
    <t>강서구 양천로 237</t>
  </si>
  <si>
    <t>마포구 성암로 330</t>
  </si>
  <si>
    <t>강남구 개포로 416</t>
  </si>
  <si>
    <t>개포디지털혁신파크(1)</t>
    <phoneticPr fontId="3" type="noConversion"/>
  </si>
  <si>
    <t>경기 하남시 서하남로 293</t>
  </si>
  <si>
    <t>광암정수센터 유지관리동</t>
    <phoneticPr fontId="3" type="noConversion"/>
  </si>
  <si>
    <t>광진구 광나루로 571</t>
  </si>
  <si>
    <t>20-111-001</t>
  </si>
  <si>
    <t>구의아리수정수센터(주민친화시설)</t>
    <phoneticPr fontId="3" type="noConversion"/>
  </si>
  <si>
    <t>덕양구 대덕로 426</t>
  </si>
  <si>
    <t>종로구 청계천로 105 (관수동)</t>
    <phoneticPr fontId="3" type="noConversion"/>
  </si>
  <si>
    <t>강서구 발산로40</t>
  </si>
  <si>
    <t>서울시농수산식품공사(1)</t>
    <phoneticPr fontId="3" type="noConversion"/>
  </si>
  <si>
    <t>송파구 양재대로 932</t>
    <phoneticPr fontId="3" type="noConversion"/>
  </si>
  <si>
    <t>서울시농수산식품공사 강서지사(1)</t>
    <phoneticPr fontId="3" type="noConversion"/>
  </si>
  <si>
    <t>서울시농수산식품공사 강서지사(2)</t>
    <phoneticPr fontId="3" type="noConversion"/>
  </si>
  <si>
    <t>강서구 발산로 40</t>
  </si>
  <si>
    <t>서울시농수산식품공사(2)</t>
    <phoneticPr fontId="3" type="noConversion"/>
  </si>
  <si>
    <t>송파구 양재대로 932</t>
  </si>
  <si>
    <t>서초구 헌인릉1길 83-9</t>
  </si>
  <si>
    <t>강동아트센터(1)</t>
    <phoneticPr fontId="3" type="noConversion"/>
  </si>
  <si>
    <t>강남구 광평로34길 124</t>
  </si>
  <si>
    <t>서울주택도시공사</t>
    <phoneticPr fontId="3" type="noConversion"/>
  </si>
  <si>
    <t>은평구 진관4로7808</t>
  </si>
  <si>
    <t>성북구 하월곡동 11-11</t>
  </si>
  <si>
    <t>마포구 월드컵로36길 15</t>
  </si>
  <si>
    <t>강서구 가양2동 1478</t>
  </si>
  <si>
    <t>강서구 가양2동 1481</t>
  </si>
  <si>
    <t>공릉1단지</t>
    <phoneticPr fontId="3" type="noConversion"/>
  </si>
  <si>
    <t>노원구 공릉3동 708</t>
  </si>
  <si>
    <t>강서구 방화3동 851</t>
  </si>
  <si>
    <t>강서구 방화3동 839</t>
  </si>
  <si>
    <t>노원구 월계로 372</t>
  </si>
  <si>
    <t>노원구 덕릉로 662</t>
  </si>
  <si>
    <t>양천구 목동서로 20</t>
  </si>
  <si>
    <t>성북구 성북동 168-274</t>
  </si>
  <si>
    <t>성북구 돈암동 538-98</t>
  </si>
  <si>
    <t>정릉종합사회복지관(1)</t>
    <phoneticPr fontId="3" type="noConversion"/>
  </si>
  <si>
    <t>성북구 솔샘로5길 92</t>
  </si>
  <si>
    <t>서대문구 연희로32길 51</t>
  </si>
  <si>
    <t>서대문구 홍은동 산 26-155</t>
  </si>
  <si>
    <t>서대문구 천연동 11703</t>
  </si>
  <si>
    <t>서대문구 연희동 165-2</t>
  </si>
  <si>
    <t>서대문구 남가좌동 342-7</t>
  </si>
  <si>
    <t>서초구 남부순환로340길 15</t>
  </si>
  <si>
    <t>서초구 남부순환로 2584</t>
  </si>
  <si>
    <t>동작구 여의대방로20길 33</t>
  </si>
  <si>
    <t>강남구 수서동 723</t>
  </si>
  <si>
    <t>관악구 상도동 430</t>
  </si>
  <si>
    <t>강남구 개포동 12</t>
  </si>
  <si>
    <t>중랑구 면동4동 1382</t>
  </si>
  <si>
    <t>강남구 일원1동 711</t>
  </si>
  <si>
    <t>중랑구 신내동 660</t>
  </si>
  <si>
    <t>중랑구 상봉1동 481</t>
  </si>
  <si>
    <t>양천구 신정3동 1258</t>
  </si>
  <si>
    <t>노원구 월계4동 320-9</t>
  </si>
  <si>
    <t>성동구 응봉동 210-3</t>
  </si>
  <si>
    <t>성동구 성수1가2동 671-19</t>
  </si>
  <si>
    <t>성동구 독서당로40길 41-1</t>
  </si>
  <si>
    <t>성북구 하월곡동 201</t>
  </si>
  <si>
    <t>성북구 장위3동 77-64</t>
  </si>
  <si>
    <t>서대문구 세검정로1길 116</t>
  </si>
  <si>
    <t>서초구 반포동 114-3</t>
  </si>
  <si>
    <t>성동구 자동차시장길 41</t>
  </si>
  <si>
    <t>성북구 길음1동 1280-3</t>
  </si>
  <si>
    <t>양천구 신정7동 33702</t>
  </si>
  <si>
    <t>성동구 행당2동 347</t>
  </si>
  <si>
    <t>성동구 행당2동 346-1</t>
  </si>
  <si>
    <t>중랑구 신내로 156</t>
  </si>
  <si>
    <t>서대문구 홍은동 273-10</t>
  </si>
  <si>
    <t>소방재난본부</t>
    <phoneticPr fontId="3" type="noConversion"/>
  </si>
  <si>
    <t>소방재난본부</t>
    <phoneticPr fontId="3" type="noConversion"/>
  </si>
  <si>
    <t>강북구 한천로 911</t>
  </si>
  <si>
    <t>중구 중림로 4길 41</t>
  </si>
  <si>
    <t>관악구 봉천9동 1718-1</t>
  </si>
  <si>
    <t>양천구 신정2동 1279-1</t>
  </si>
  <si>
    <t>강북구 솔샘로 159</t>
  </si>
  <si>
    <t>양천구 신목로 5</t>
  </si>
  <si>
    <t>서울시 성동구 뚝섬로1길43</t>
  </si>
  <si>
    <t>성동구 고산자로 262</t>
  </si>
  <si>
    <t>성북구 화랑로 296</t>
  </si>
  <si>
    <t>서대문구 수색로 100-55</t>
  </si>
  <si>
    <t>서대문구 연희동 188-47</t>
  </si>
  <si>
    <t>서초구 사평대로 28길 70</t>
  </si>
  <si>
    <t>서초구 서초대로70길 51</t>
  </si>
  <si>
    <t>13-036-002</t>
  </si>
  <si>
    <t>13-036-001</t>
  </si>
  <si>
    <t>13-130-001</t>
  </si>
  <si>
    <t>서울식물원</t>
    <phoneticPr fontId="3" type="noConversion"/>
  </si>
  <si>
    <t>구로구 연동로 240</t>
  </si>
  <si>
    <t>13-204-001</t>
  </si>
  <si>
    <t>성북구 길음1동 1281-1</t>
  </si>
  <si>
    <t>13-204-002</t>
  </si>
  <si>
    <t>은평구 불광동 637-1</t>
  </si>
  <si>
    <t>13-204-003</t>
  </si>
  <si>
    <t>13-404-001</t>
  </si>
  <si>
    <t>성동구 마장로 141(상왕십리동)</t>
  </si>
  <si>
    <t>13-408-001</t>
  </si>
  <si>
    <t>성북구 화랑로 18자길 13</t>
  </si>
  <si>
    <t>13-408-002</t>
  </si>
  <si>
    <t>성북나눔발전소1호 (성북구의회)</t>
    <phoneticPr fontId="3" type="noConversion"/>
  </si>
  <si>
    <t>성북구 북악산로 949-60</t>
  </si>
  <si>
    <t>13-413-001</t>
  </si>
  <si>
    <t>서대문구 홍은동 8-150</t>
  </si>
  <si>
    <t>13-422-001</t>
  </si>
  <si>
    <t>서초구 방배로 173</t>
  </si>
  <si>
    <t>13-422-002</t>
  </si>
  <si>
    <t>서초구 염곡말길 9</t>
  </si>
  <si>
    <t>13-422-003</t>
  </si>
  <si>
    <t>서초구 신반포로33길 22</t>
  </si>
  <si>
    <t>강서구 개화동산로19길 8</t>
  </si>
  <si>
    <t>동작구 사당로 63</t>
  </si>
  <si>
    <t>구로구 오리로 1285</t>
  </si>
  <si>
    <t>양천구 신월로 268</t>
  </si>
  <si>
    <t>서초구 동산로 9</t>
  </si>
  <si>
    <t>송파구 석촌호수로 151</t>
  </si>
  <si>
    <t>도봉구 노해로 152</t>
  </si>
  <si>
    <t>서대문구 독립문공원길 17</t>
  </si>
  <si>
    <t>동작구 상도동 만양로 26</t>
  </si>
  <si>
    <t>노원구 한글비석로 6</t>
  </si>
  <si>
    <t>구로구 천왕로 50</t>
  </si>
  <si>
    <t>성동구 금호로172-1</t>
  </si>
  <si>
    <t>성동구 뚝섬로1길 2</t>
  </si>
  <si>
    <t>성동구 왕십리로16길 6</t>
  </si>
  <si>
    <t>성동구 고산자로 270</t>
  </si>
  <si>
    <t>성동구 성수동1가 271-2</t>
  </si>
  <si>
    <t>서대문구 충정로3가 185-2</t>
  </si>
  <si>
    <t>서대문구 홍은 중앙로 129</t>
  </si>
  <si>
    <t>서초구 서초동 1649-5</t>
  </si>
  <si>
    <t>구로구 경인로 408</t>
  </si>
  <si>
    <t>은평구 통일로 962</t>
  </si>
  <si>
    <t>경기도 고양시 삼송로 300</t>
  </si>
  <si>
    <t>서울시 강서구 개화동로8길 28</t>
  </si>
  <si>
    <t>도봉차량기지 태양광 발전소</t>
    <phoneticPr fontId="3" type="noConversion"/>
  </si>
  <si>
    <t>경기도 의정부시 서계로42(장암동) 153,297</t>
  </si>
  <si>
    <t>서울시 강동구 아리수로87길 32 (강일동)</t>
  </si>
  <si>
    <t>성동구 마조로11길 6</t>
  </si>
  <si>
    <t>성동구 고산자로26길 6</t>
  </si>
  <si>
    <t>성동구 광나루로4가길 23</t>
  </si>
  <si>
    <t>성동구 성수2가 302-25</t>
  </si>
  <si>
    <t>성북구 아리랑로12길 4</t>
  </si>
  <si>
    <t>코로나19 휴관</t>
    <phoneticPr fontId="3" type="noConversion"/>
  </si>
  <si>
    <t>성북구 고려대로 16</t>
  </si>
  <si>
    <t>성북구 장위동 157-1</t>
  </si>
  <si>
    <t>성북나눔발전소3호(개운산공원 생태체험교실)</t>
    <phoneticPr fontId="3" type="noConversion"/>
  </si>
  <si>
    <t>성북구 북악산로 949-73</t>
  </si>
  <si>
    <t>서대문구 모래내로15길 37</t>
  </si>
  <si>
    <t>서대문구 가재울로14길 22</t>
  </si>
  <si>
    <t>서대문구 연세로2나길 47</t>
  </si>
  <si>
    <t>서대문구 통일로 483</t>
  </si>
  <si>
    <t>서초구 남부순환로340길 58</t>
  </si>
  <si>
    <t>관악구 난곡로 243</t>
  </si>
  <si>
    <t>서초구 남부순환로 2155</t>
  </si>
  <si>
    <t>서대문구 증가로 242</t>
  </si>
  <si>
    <t>관악구 봉천로 202</t>
  </si>
  <si>
    <t>구로구 천왕로21</t>
  </si>
  <si>
    <t>성동구 사근동길 37 (사근동)</t>
  </si>
  <si>
    <t>성동구 용답29길 22</t>
  </si>
  <si>
    <t>성동구 무학로10길 28</t>
  </si>
  <si>
    <t>서대문구 세검정로4길 129-16</t>
  </si>
  <si>
    <t>서대문구 포방터2길 10</t>
  </si>
  <si>
    <t>서초구 남부순환로340길 21</t>
  </si>
  <si>
    <t>서초구 남부순환로323길 44-15</t>
  </si>
  <si>
    <t>마포구 매봉산로 31</t>
  </si>
  <si>
    <t>구로구 고척로 195</t>
  </si>
  <si>
    <t>마포구 창전로 76</t>
  </si>
  <si>
    <t>서울시 강서구 양천로255</t>
  </si>
  <si>
    <t>금천구 남부순환로128길 42</t>
  </si>
  <si>
    <t>성동구 금호동4가 56</t>
  </si>
  <si>
    <t>성동구 무학로6길 9</t>
  </si>
  <si>
    <t>성동구 행당로 12</t>
  </si>
  <si>
    <t>성북구 정릉로8가길 17-3</t>
  </si>
  <si>
    <t>성북구 정릉동 716-172</t>
  </si>
  <si>
    <t>성북구 화랑로18길 28</t>
  </si>
  <si>
    <t>성북구 보문로 168</t>
  </si>
  <si>
    <t>성북구 화랑로32길 88</t>
  </si>
  <si>
    <t>서대문구 연희로39나길 8</t>
  </si>
  <si>
    <t>서대문구 홍은중앙로 125</t>
  </si>
  <si>
    <t>서대문구</t>
    <phoneticPr fontId="12" type="noConversion"/>
  </si>
  <si>
    <t>서대문구 백련사길 39(홍은동)</t>
    <phoneticPr fontId="12" type="noConversion"/>
  </si>
  <si>
    <t>관악구 관악로97</t>
  </si>
  <si>
    <t>구로구 디지털로 34길 56</t>
  </si>
  <si>
    <t>관악구 은천로 54</t>
  </si>
  <si>
    <t>은평구 통일로 1031-21</t>
  </si>
  <si>
    <t>중랑구 면목동 727-250</t>
  </si>
  <si>
    <t>강동구 암사동 산 10</t>
  </si>
  <si>
    <t>강서구 마곡동로 161</t>
  </si>
  <si>
    <t>노원구 노원로19길 23</t>
  </si>
  <si>
    <t>중구 다산로 32</t>
  </si>
  <si>
    <t>서대문구 독립문로14길 33</t>
  </si>
  <si>
    <t>은평구 백련산로2길 39</t>
  </si>
  <si>
    <t>은평구 백련산로2길 42</t>
  </si>
  <si>
    <t>은평구 백련산로2길 46</t>
  </si>
  <si>
    <t>은평구 불광로2길 27</t>
  </si>
  <si>
    <t>성동구 옥수동 562</t>
  </si>
  <si>
    <t>성동구 무학로 50</t>
  </si>
  <si>
    <t>구로구 항동 181</t>
  </si>
  <si>
    <t>성동구 행당로8길 8</t>
  </si>
  <si>
    <t>성동구 고산자로 177</t>
  </si>
  <si>
    <t>서대문구 세검정로 134</t>
  </si>
  <si>
    <t>항동하버라인 8단지</t>
    <phoneticPr fontId="3" type="noConversion"/>
  </si>
  <si>
    <t>구로구 항동 산 50-3</t>
  </si>
  <si>
    <t xml:space="preserve">홍은 센트레빌3차 </t>
    <phoneticPr fontId="3" type="noConversion"/>
  </si>
  <si>
    <t>서대문구 통일로 553</t>
  </si>
  <si>
    <t>서울시 광진구 자양동, 구의동 일대</t>
  </si>
  <si>
    <t>성동구 옥수동 528-2</t>
  </si>
  <si>
    <t>성동구 성수일로12길20</t>
  </si>
  <si>
    <t>성동구 청계천로 506</t>
  </si>
  <si>
    <t>성동구 송정동93</t>
  </si>
  <si>
    <t>성동구 독서당로63길 40</t>
  </si>
  <si>
    <t>성동구 살곶이길 313-62</t>
  </si>
  <si>
    <t>성북구 장위로19길 35</t>
  </si>
  <si>
    <t>서대문구 홍은중앙로5길 15</t>
  </si>
  <si>
    <t>서초구 청계산로15길 77</t>
  </si>
  <si>
    <t>서초구 양재동 37603</t>
  </si>
  <si>
    <t>서초구 신반포로23길 78</t>
  </si>
  <si>
    <t>서울시 중랑구 양원역로 38</t>
  </si>
  <si>
    <t>노원구 동일로174길 27</t>
  </si>
  <si>
    <t>소방학교본관</t>
    <phoneticPr fontId="3" type="noConversion"/>
  </si>
  <si>
    <t>중랑구 신내로 208</t>
  </si>
  <si>
    <t>서울시 강북구 삼양로19길 113</t>
  </si>
  <si>
    <t>서울시 성북구 회기로5길 142</t>
  </si>
  <si>
    <t>서울시 성북구 오패산로 90</t>
  </si>
  <si>
    <t>서울시 성북구 길음로13길 22</t>
  </si>
  <si>
    <t>서울 금천구 금하로 793</t>
  </si>
  <si>
    <t>서울 금천구 금하로 796</t>
  </si>
  <si>
    <t>구로구 금오로882(천왕동 산19-1)</t>
  </si>
  <si>
    <t>돈암풍림 아파트</t>
    <phoneticPr fontId="3" type="noConversion"/>
  </si>
  <si>
    <t>서울시 성북구 북악산로 913</t>
  </si>
  <si>
    <t xml:space="preserve">상도신동아 아파트 </t>
    <phoneticPr fontId="3" type="noConversion"/>
  </si>
  <si>
    <t>서울시 강서구 개화동로8길 19</t>
  </si>
  <si>
    <t>서울시 성동구 성수1가 69701 일대</t>
  </si>
  <si>
    <t>성수2호 태양광 발전소</t>
    <phoneticPr fontId="3" type="noConversion"/>
  </si>
  <si>
    <t>서울시 성동구 성수2가 623 일대</t>
  </si>
  <si>
    <t>성동구 독서당로63길 85 대현산공원관리사무실</t>
  </si>
  <si>
    <t>성동구 독서당로60길 1301 암벽관리사무소</t>
  </si>
  <si>
    <t>성동구도시관리공단청사</t>
    <phoneticPr fontId="3" type="noConversion"/>
  </si>
  <si>
    <t>용답제2공영주차장</t>
    <phoneticPr fontId="3" type="noConversion"/>
  </si>
  <si>
    <t>성북구 하월곡동 77-214</t>
  </si>
  <si>
    <t>정릉종합사회복지관(2)</t>
    <phoneticPr fontId="3" type="noConversion"/>
  </si>
  <si>
    <t>서대문구 남가좌동 385-4</t>
  </si>
  <si>
    <t>서초구 서운로26길 3</t>
  </si>
  <si>
    <t>서초구 양재천로 33</t>
  </si>
  <si>
    <t>천왕차량기지 태양광 발전소</t>
    <phoneticPr fontId="3" type="noConversion"/>
  </si>
  <si>
    <t>백련산힐스테이트1차</t>
    <phoneticPr fontId="3" type="noConversion"/>
  </si>
  <si>
    <t>암사아리수정수센터</t>
    <phoneticPr fontId="3" type="noConversion"/>
  </si>
  <si>
    <t>강변공영주차장</t>
    <phoneticPr fontId="3" type="noConversion"/>
  </si>
  <si>
    <t>양재도서관</t>
    <phoneticPr fontId="3" type="noConversion"/>
  </si>
  <si>
    <t>서울시 강서구 개화동 산16-5 일대</t>
    <phoneticPr fontId="3" type="noConversion"/>
  </si>
  <si>
    <t>뚝섬빗물펌프장(1)</t>
    <phoneticPr fontId="3" type="noConversion"/>
  </si>
  <si>
    <t>서초구</t>
    <phoneticPr fontId="3" type="noConversion"/>
  </si>
  <si>
    <t>서울시립중랑노인전문요양원</t>
    <phoneticPr fontId="3" type="noConversion"/>
  </si>
  <si>
    <t>서울생활사박물관</t>
    <phoneticPr fontId="3" type="noConversion"/>
  </si>
  <si>
    <t xml:space="preserve">암사아리수정수센터 탈수기동 </t>
    <phoneticPr fontId="3" type="noConversion"/>
  </si>
  <si>
    <t>성동도로사업소 청사</t>
    <phoneticPr fontId="3" type="noConversion"/>
  </si>
  <si>
    <t>월곡2 SH빌아파트 101동</t>
    <phoneticPr fontId="3" type="noConversion"/>
  </si>
  <si>
    <t>뚝섬빗물펌프장(2)</t>
    <phoneticPr fontId="3" type="noConversion"/>
  </si>
  <si>
    <t>20-205-001</t>
    <phoneticPr fontId="3" type="noConversion"/>
  </si>
  <si>
    <t>서울에너지공사</t>
    <phoneticPr fontId="3" type="noConversion"/>
  </si>
  <si>
    <t>광나루 태양광 발전소</t>
    <phoneticPr fontId="3" type="noConversion"/>
  </si>
  <si>
    <t>서울시 광진구 광장동 561-2 일대</t>
    <phoneticPr fontId="3" type="noConversion"/>
  </si>
  <si>
    <t>20-205-003</t>
    <phoneticPr fontId="3" type="noConversion"/>
  </si>
  <si>
    <t>모란차량기지 태양광 발전소</t>
    <phoneticPr fontId="3" type="noConversion"/>
  </si>
  <si>
    <t>경기도 성남시 중원구 여수동 226 일대</t>
    <phoneticPr fontId="3" type="noConversion"/>
  </si>
  <si>
    <t>20-205-004</t>
    <phoneticPr fontId="3" type="noConversion"/>
  </si>
  <si>
    <t>방화차량기지 태양광 발전소</t>
    <phoneticPr fontId="3" type="noConversion"/>
  </si>
  <si>
    <t>20-205-002</t>
    <phoneticPr fontId="3" type="noConversion"/>
  </si>
  <si>
    <t>경기도 광명시 옥길동 9 일대</t>
    <phoneticPr fontId="3" type="noConversion"/>
  </si>
  <si>
    <t>상림마을7-1단지(은평1-9,은평뉴타운상림마을)</t>
    <phoneticPr fontId="3" type="noConversion"/>
  </si>
  <si>
    <t>성동구 뚝섬로 273</t>
  </si>
  <si>
    <t>구로구 고척동 산 9-14</t>
  </si>
  <si>
    <t>관악구종합청사(1)</t>
    <phoneticPr fontId="3" type="noConversion"/>
  </si>
  <si>
    <t>관악구 관악로 145</t>
  </si>
  <si>
    <t>강서구 개화동로8길 38</t>
  </si>
  <si>
    <t>경기도 과천시 장군마을 3길30</t>
  </si>
  <si>
    <t>마포구 상암동 478-1</t>
    <phoneticPr fontId="3" type="noConversion"/>
  </si>
  <si>
    <t>마포구 성산동 390-1</t>
  </si>
  <si>
    <t>영등포구 당산동 1</t>
  </si>
  <si>
    <t>서서울호수공원</t>
    <phoneticPr fontId="3" type="noConversion"/>
  </si>
  <si>
    <t>양천구 신월3동 남부순환로64길 20</t>
    <phoneticPr fontId="3" type="noConversion"/>
  </si>
  <si>
    <t>노원구</t>
    <phoneticPr fontId="3" type="noConversion"/>
  </si>
  <si>
    <t>노원구 공릉동 389-4</t>
  </si>
  <si>
    <t>노원마들스터디움</t>
    <phoneticPr fontId="3" type="noConversion"/>
  </si>
  <si>
    <t>노원구 상계동 770-2</t>
  </si>
  <si>
    <t>노원구 하계동 252-13</t>
  </si>
  <si>
    <t>구로구</t>
    <phoneticPr fontId="3" type="noConversion"/>
  </si>
  <si>
    <t>구로구 벚꽃길 484</t>
  </si>
  <si>
    <t>구로구 중앙로15길 22</t>
  </si>
  <si>
    <t>구로구 구일로 62</t>
  </si>
  <si>
    <t>구로구청(1)</t>
    <phoneticPr fontId="3" type="noConversion"/>
  </si>
  <si>
    <t>구로구 가마산로 245</t>
  </si>
  <si>
    <t>금천구 독산4동 371-2</t>
  </si>
  <si>
    <t>금천구 시흥대로51길 93-32</t>
  </si>
  <si>
    <t>금천구 독산동 700</t>
  </si>
  <si>
    <t>관악구민종합체육센터(1)</t>
    <phoneticPr fontId="3" type="noConversion"/>
  </si>
  <si>
    <t>관악구 낙성대로3길 37</t>
  </si>
  <si>
    <t>관악구 봉천로27길 20</t>
  </si>
  <si>
    <t>양천구 신정이펜1로 20</t>
  </si>
  <si>
    <t>노원구 동일로 186길 3-24</t>
  </si>
  <si>
    <t>노원구 공릉동 87-7</t>
  </si>
  <si>
    <t>노원구 공릉동 406-1</t>
  </si>
  <si>
    <t>노원구청별관1,2호기</t>
    <phoneticPr fontId="3" type="noConversion"/>
  </si>
  <si>
    <t>노원구 노해로 437</t>
  </si>
  <si>
    <t>노원구 하계1동 256</t>
  </si>
  <si>
    <t>시립중계노인전문요양원</t>
    <phoneticPr fontId="3" type="noConversion"/>
  </si>
  <si>
    <t>노원구 중계동 501-1</t>
  </si>
  <si>
    <t>금천구 벚꽃로38길 35</t>
  </si>
  <si>
    <t>금천구 독산로54길 251</t>
  </si>
  <si>
    <t>금천구 시흥대로12길 82</t>
  </si>
  <si>
    <t>금천구 시흥대로86길 20</t>
  </si>
  <si>
    <t>관악구 시흥대로 164길 27</t>
  </si>
  <si>
    <t>관악구 신림동 409-197</t>
  </si>
  <si>
    <t>노원구 노원로17길 56</t>
  </si>
  <si>
    <t>노원에코센터</t>
    <phoneticPr fontId="3" type="noConversion"/>
  </si>
  <si>
    <t>노원구 월계동321-4</t>
  </si>
  <si>
    <t>노원구 하계동 273-2</t>
  </si>
  <si>
    <t>금천구 시흥대로 73길 70</t>
  </si>
  <si>
    <t>금천구 독산로 317</t>
  </si>
  <si>
    <t>관악구 남부순환로246가길 17</t>
  </si>
  <si>
    <t>관악구 남부순환로 246가길 20</t>
  </si>
  <si>
    <t>강남구 남부순환로 3142-33</t>
  </si>
  <si>
    <t>종로구 구기동 244-9</t>
  </si>
  <si>
    <t>관악구 신림동 108-51</t>
  </si>
  <si>
    <t>13-417-002</t>
  </si>
  <si>
    <t>구로구 가마산로25길 21</t>
  </si>
  <si>
    <t>13-417-001</t>
  </si>
  <si>
    <t>구로구 궁동 108-9</t>
  </si>
  <si>
    <t>13-418-001</t>
  </si>
  <si>
    <t>금천구 시흥2동 금하로 764</t>
  </si>
  <si>
    <t>13-418-003</t>
  </si>
  <si>
    <t>13-418-002</t>
  </si>
  <si>
    <t>금천구 독로72길 86-5</t>
  </si>
  <si>
    <t>13-418-005</t>
  </si>
  <si>
    <t>금천구 독산4동 산199-1번지 일대</t>
  </si>
  <si>
    <t>13-418-006</t>
  </si>
  <si>
    <t>금천구 시흥4동 산126-13</t>
  </si>
  <si>
    <t>13-418-004</t>
  </si>
  <si>
    <t>금천구 가산동 안양천변</t>
  </si>
  <si>
    <t>13-421-001</t>
  </si>
  <si>
    <t>관악구 남현동 1086-1</t>
  </si>
  <si>
    <t>13-421-002</t>
  </si>
  <si>
    <t>관악구 대학동 1522</t>
  </si>
  <si>
    <t>13-421-003</t>
  </si>
  <si>
    <t>관악구 신림동 568-27</t>
  </si>
  <si>
    <t>노원구 화랑로 422</t>
  </si>
  <si>
    <t>노원구 중계로167</t>
  </si>
  <si>
    <t>노원구 덕릉로 60길 199</t>
  </si>
  <si>
    <t>구로구 디지털로31길 109</t>
  </si>
  <si>
    <t>구로구 고척로45길 39</t>
  </si>
  <si>
    <t>구로구 궁동 204-4</t>
  </si>
  <si>
    <t>구로구 부일로1길 62</t>
  </si>
  <si>
    <t>금천구 시흥4동 807 (상계거래 신청)</t>
  </si>
  <si>
    <t>금천구 독산로36길 14</t>
  </si>
  <si>
    <t>금천구 독산로32다길 17</t>
  </si>
  <si>
    <t>관악구 난곡로58길 15</t>
  </si>
  <si>
    <t>관악구 양녕로6다길 7</t>
  </si>
  <si>
    <t>성동구 왕십리로 27/(성수1가1동 642-1)</t>
  </si>
  <si>
    <t>노원구 노원로 586</t>
  </si>
  <si>
    <t>노원구 상계로 118</t>
  </si>
  <si>
    <t>노원구 덕릉로 483</t>
  </si>
  <si>
    <t>노원구 중계로 36</t>
  </si>
  <si>
    <t>노원구 동일로 227길 106</t>
  </si>
  <si>
    <t>노원구 석계로 69</t>
  </si>
  <si>
    <t>노원구 중계로8길 17</t>
  </si>
  <si>
    <t>노원구 상계동 770-11</t>
  </si>
  <si>
    <t>구로구 구로중앙로28길 66</t>
  </si>
  <si>
    <t>구로구 고척로45길 31</t>
  </si>
  <si>
    <t>금천구 가산로5길 43</t>
  </si>
  <si>
    <t>금천구 독산로58가길 88</t>
  </si>
  <si>
    <t>금천구 시흥대로37길 18</t>
  </si>
  <si>
    <t>금천구 독산1동 벚꽃로10길 94(독산1동 1010)</t>
  </si>
  <si>
    <t>금천구 독1동 1088-1외5필지(주공13단지내)</t>
  </si>
  <si>
    <t>금천구 독산4동 187-40 독산4동공영주차장</t>
  </si>
  <si>
    <t>관악구 남부순환로234길 73</t>
  </si>
  <si>
    <t>관악구 난곡로58길 13</t>
  </si>
  <si>
    <t>관악구 신림로3길 35</t>
  </si>
  <si>
    <t>관악구 봉천로 279-7</t>
  </si>
  <si>
    <t>성동구 청계천로 500</t>
  </si>
  <si>
    <t>서초구 남부순환로 340길 49</t>
  </si>
  <si>
    <t>노원구 동일로179길22</t>
  </si>
  <si>
    <t>노원구 노원로30길 73</t>
  </si>
  <si>
    <t>노원구 덕릉로 126 나길 14</t>
  </si>
  <si>
    <t>노원구 한글비석로39길 16-5</t>
  </si>
  <si>
    <t>노원구 중계로 14길 53</t>
  </si>
  <si>
    <t>노원구 수락산로 131</t>
  </si>
  <si>
    <t>구로구 구로동 689-7</t>
  </si>
  <si>
    <t>구로2펌프장</t>
    <phoneticPr fontId="3" type="noConversion"/>
  </si>
  <si>
    <t>구로구 구로동 120-5</t>
  </si>
  <si>
    <t>구로구 신도림로19길 108</t>
  </si>
  <si>
    <t>금천구 시흥대로18길 65-4</t>
  </si>
  <si>
    <t>관악구민종합체육센터(2)</t>
    <phoneticPr fontId="3" type="noConversion"/>
  </si>
  <si>
    <t>관악구 신림동 1635-60</t>
  </si>
  <si>
    <t>관악구 난곡로30길 40</t>
  </si>
  <si>
    <t>관악구 난우10길 33</t>
  </si>
  <si>
    <t>강북구 삼양로 181길 17</t>
  </si>
  <si>
    <t>영등포구 양화동 95</t>
  </si>
  <si>
    <t>노원구 하계동 251-8</t>
    <phoneticPr fontId="3" type="noConversion"/>
  </si>
  <si>
    <t>노원구 중계동 514-3</t>
  </si>
  <si>
    <t>노원구 하계동 251-8</t>
  </si>
  <si>
    <t>노원구 하계동 산16-26</t>
  </si>
  <si>
    <t>노원구 한글비석로 487</t>
  </si>
  <si>
    <t>노원구 상계로 283</t>
  </si>
  <si>
    <t>노원구 월계1동 산 106-5</t>
  </si>
  <si>
    <t>노원구 하계동 251-9</t>
  </si>
  <si>
    <t>노원구 덕릉로 450</t>
  </si>
  <si>
    <t>노원구상계로23길17</t>
  </si>
  <si>
    <t>구로구 새말로 121-15</t>
  </si>
  <si>
    <t>관악구 남부순환로 1914</t>
  </si>
  <si>
    <t>관악구 신림동 산197-3</t>
  </si>
  <si>
    <t>관악구 낙성대로 40</t>
  </si>
  <si>
    <t>관악구 난곡로34길 71</t>
  </si>
  <si>
    <t>관악구 호암로18나길 5</t>
  </si>
  <si>
    <t>신림4.5동교</t>
    <phoneticPr fontId="3" type="noConversion"/>
  </si>
  <si>
    <t>관악구 관천로 12길</t>
  </si>
  <si>
    <t>삼전역 931변전소(삼전역,석촌고분역)</t>
    <phoneticPr fontId="10" type="noConversion"/>
  </si>
  <si>
    <t>송파구 잠실동 347</t>
  </si>
  <si>
    <t>중앙보훈병원역 938변전소(둔촌오륜역)</t>
    <phoneticPr fontId="10" type="noConversion"/>
  </si>
  <si>
    <t>한성백제역 935변전소(석촌역,송파나루역,한성백제역)</t>
    <phoneticPr fontId="10" type="noConversion"/>
  </si>
  <si>
    <t>동작구 사당동588-44 4번출구</t>
  </si>
  <si>
    <t>동작구 사당동588-44 3번출구</t>
  </si>
  <si>
    <t>관악구 남현동612-21 홈플러스 앞 정류장</t>
  </si>
  <si>
    <t>서초구 방배동29-9</t>
  </si>
  <si>
    <t>은평구 갈현로15길 27-1</t>
  </si>
  <si>
    <t>마포구 월드컵로 243-60</t>
  </si>
  <si>
    <t>노원구 노원로1나길10</t>
  </si>
  <si>
    <t>노원구 동일로239다길 23</t>
  </si>
  <si>
    <t>노원구 중계동 산 42-3</t>
  </si>
  <si>
    <t>노원구 중계본동 34-5</t>
  </si>
  <si>
    <t>노원구 상계동 966-15</t>
  </si>
  <si>
    <t>노원구 월계동 936</t>
  </si>
  <si>
    <t>노원구 공릉로59가길 13</t>
  </si>
  <si>
    <t>노원구 중계동 507 외 13개소</t>
  </si>
  <si>
    <t xml:space="preserve"> 노원구 마들로 31 (월계3동)</t>
  </si>
  <si>
    <t>구로구 우마길 17</t>
  </si>
  <si>
    <t>구로구가족통합지원센타</t>
    <phoneticPr fontId="3" type="noConversion"/>
  </si>
  <si>
    <t>구로구 우마2길 29-5</t>
  </si>
  <si>
    <t>구로구 오리로1352</t>
  </si>
  <si>
    <t>금천구 독산동 1151</t>
  </si>
  <si>
    <t>금천구 시흥동1020</t>
  </si>
  <si>
    <t>금천구 시흥5동 247-19</t>
  </si>
  <si>
    <t>금천구 탑골로8길 23</t>
  </si>
  <si>
    <t>금천구 독산동 1043-51</t>
  </si>
  <si>
    <t>관악구 봉천로21길 38</t>
  </si>
  <si>
    <t>관악구 신림동 1587-38</t>
  </si>
  <si>
    <t>관악구 양지길63</t>
  </si>
  <si>
    <t>관악구 신림동 산 72-4</t>
  </si>
  <si>
    <t>관악구 신림동 산 105-12</t>
  </si>
  <si>
    <t>관악구 봉천동 산 151-139</t>
  </si>
  <si>
    <t>서울시 송파구 석촌동 323 번지</t>
  </si>
  <si>
    <t>서울 서초구 원지동 87-2</t>
    <phoneticPr fontId="3" type="noConversion"/>
  </si>
  <si>
    <t>서울시 강남구 율현동 165-2 근린공원4호 휴게실2</t>
  </si>
  <si>
    <t>마포구 상암동481-6</t>
  </si>
  <si>
    <t>구의1동주민센터</t>
    <phoneticPr fontId="3" type="noConversion"/>
  </si>
  <si>
    <t>구로구 구로동 3</t>
  </si>
  <si>
    <t>구로구청(2)</t>
    <phoneticPr fontId="3" type="noConversion"/>
  </si>
  <si>
    <t>서울시 구로구 가마산로 245</t>
  </si>
  <si>
    <t>시흥빗물펌프장</t>
    <phoneticPr fontId="3" type="noConversion"/>
  </si>
  <si>
    <t>금천구 시흥동 243-31</t>
  </si>
  <si>
    <t>범안로17길 22</t>
  </si>
  <si>
    <t>금천구 문성로7가길 14</t>
  </si>
  <si>
    <t>금천구 금하로1마길 15-8</t>
  </si>
  <si>
    <t>관악구 남부순환로 1427</t>
  </si>
  <si>
    <t>20-418-001</t>
  </si>
  <si>
    <t>금천구</t>
    <phoneticPr fontId="3" type="noConversion"/>
  </si>
  <si>
    <t xml:space="preserve"> 금천구 시흥대로 73길 70</t>
    <phoneticPr fontId="3" type="noConversion"/>
  </si>
  <si>
    <t>20-418-002</t>
  </si>
  <si>
    <t xml:space="preserve"> 금천구 시흥동 921-29</t>
    <phoneticPr fontId="3" type="noConversion"/>
  </si>
  <si>
    <t>20-418-003</t>
  </si>
  <si>
    <t>20-421-001</t>
  </si>
  <si>
    <t>관악구</t>
    <phoneticPr fontId="3" type="noConversion"/>
  </si>
  <si>
    <t>관악구 남부순환로149길 34-2 (신림동)</t>
    <phoneticPr fontId="3" type="noConversion"/>
  </si>
  <si>
    <t>영등포구 당산로 123</t>
    <phoneticPr fontId="3" type="noConversion"/>
  </si>
  <si>
    <t>영등포구 영등포로84길 24-5</t>
  </si>
  <si>
    <t>영등포구 영등포로64길 15</t>
  </si>
  <si>
    <t>영등포구 당산로 123</t>
  </si>
  <si>
    <t>영등포구 신풍로 1</t>
  </si>
  <si>
    <t>영등포구 디지털로 441</t>
  </si>
  <si>
    <t>영등포구 대방천로 29-18</t>
  </si>
  <si>
    <t>영등포구 영등포로53길 22</t>
  </si>
  <si>
    <t>영등포구 당산로29길 9</t>
  </si>
  <si>
    <t>영등포구 도림로 264</t>
  </si>
  <si>
    <t>영등포구 국회대로 615</t>
  </si>
  <si>
    <t>영등포구 선유로43가길 10-8</t>
  </si>
  <si>
    <t>영등포구 문래로20길 49</t>
  </si>
  <si>
    <t>영등포구 신길로41라길 13-8</t>
  </si>
  <si>
    <t>영등포구 양평동3가 57-3</t>
  </si>
  <si>
    <t>당산2동 주민센터</t>
    <phoneticPr fontId="3" type="noConversion"/>
  </si>
  <si>
    <t>영등포구 여의대방로 372</t>
  </si>
  <si>
    <t>당산1가경로당</t>
    <phoneticPr fontId="3" type="noConversion"/>
  </si>
  <si>
    <t>영등포구 영등포로29길 1</t>
  </si>
  <si>
    <t>영등포구 대림로41길12</t>
  </si>
  <si>
    <t>영등포구 영등포로12길 8</t>
  </si>
  <si>
    <t>영등포구 양평로20길14-1</t>
  </si>
  <si>
    <t>영등포구 양화동 175-2</t>
  </si>
  <si>
    <t>영등포구 도림로 482</t>
  </si>
  <si>
    <t>영등포구 선유동1로 80</t>
  </si>
  <si>
    <t>영등포구 노들로 59</t>
    <phoneticPr fontId="3" type="noConversion"/>
  </si>
  <si>
    <t>영등포구 도림동 254</t>
  </si>
  <si>
    <t>영등포구 도산로15길 11</t>
    <phoneticPr fontId="3" type="noConversion"/>
  </si>
  <si>
    <t>영등포구 선유로47길 30</t>
  </si>
  <si>
    <t>영등포구 양평동 35-2</t>
  </si>
  <si>
    <t>영등포구보훈회관</t>
    <phoneticPr fontId="3" type="noConversion"/>
  </si>
  <si>
    <t>영등포구 영등포로29길 13</t>
  </si>
  <si>
    <t>영등포공원(1)</t>
    <phoneticPr fontId="3" type="noConversion"/>
  </si>
  <si>
    <t>영등포구 신길로 275</t>
  </si>
  <si>
    <t>영등포공원(2)</t>
    <phoneticPr fontId="3" type="noConversion"/>
  </si>
  <si>
    <t>용산구 효창원로 146-12</t>
  </si>
  <si>
    <t>용산구 녹사평대로 150</t>
  </si>
  <si>
    <t>용산구 청파로49길 6</t>
  </si>
  <si>
    <t>용산구효창원로 161</t>
    <phoneticPr fontId="3" type="noConversion"/>
  </si>
  <si>
    <t>13-403-001</t>
  </si>
  <si>
    <t>용산구 독서당로 103</t>
  </si>
  <si>
    <t>용산구 효창원로 93길51</t>
  </si>
  <si>
    <t>용산구</t>
    <phoneticPr fontId="3" type="noConversion"/>
  </si>
  <si>
    <t>용산구 이태원로 224-19</t>
  </si>
  <si>
    <t>용산구 효창원로 93길 49</t>
  </si>
  <si>
    <t>용산구 임정로 58</t>
  </si>
  <si>
    <t>한남유수지공영주차장</t>
    <phoneticPr fontId="3" type="noConversion"/>
  </si>
  <si>
    <t>장애인 커뮤니티 센터</t>
    <phoneticPr fontId="3" type="noConversion"/>
  </si>
  <si>
    <t>송파구 중대로 235</t>
    <phoneticPr fontId="3" type="noConversion"/>
  </si>
  <si>
    <t>송파구 거마로2길 19</t>
  </si>
  <si>
    <t>송파구 방이동 443-15</t>
  </si>
  <si>
    <t>송파구 거여동 289</t>
  </si>
  <si>
    <t>송파구 잠실동 306</t>
  </si>
  <si>
    <t>송파구 백제고분로42길 15</t>
  </si>
  <si>
    <t>송파구 백제고분로42길 5</t>
  </si>
  <si>
    <t>13-424-002</t>
  </si>
  <si>
    <t>송파구 성내천로35길 53</t>
  </si>
  <si>
    <t>13-424-001</t>
  </si>
  <si>
    <t>송파구 충민로2길 20</t>
  </si>
  <si>
    <t>송파구 백제고분로37길 16</t>
  </si>
  <si>
    <t>송파구 거여1동 136-16</t>
  </si>
  <si>
    <t>송파구 동남로 263</t>
  </si>
  <si>
    <t>송파구 위례순환로 413</t>
  </si>
  <si>
    <t>송파구 토성로19길 37</t>
  </si>
  <si>
    <t>송파구 문정동 621</t>
  </si>
  <si>
    <t>송파구 마천로 287</t>
  </si>
  <si>
    <t>송파구 중대로4길 4</t>
  </si>
  <si>
    <t>송파구 탄천동로 211</t>
  </si>
  <si>
    <t>디자인 태양광</t>
    <phoneticPr fontId="3" type="noConversion"/>
  </si>
  <si>
    <t>송파구 양산로 5</t>
  </si>
  <si>
    <t>송파구 성내천로35길 53 (마천동)</t>
  </si>
  <si>
    <t>송파구 양재대로 925</t>
  </si>
  <si>
    <t>송파구 충민로184</t>
  </si>
  <si>
    <t>송파구 성내천로33가길16</t>
  </si>
  <si>
    <t>송파구 장지동 695-2</t>
  </si>
  <si>
    <t>탄천빗물펌프장</t>
    <phoneticPr fontId="3" type="noConversion"/>
  </si>
  <si>
    <t>송파구 가락동 508</t>
  </si>
  <si>
    <t>송파구 송파대로42길 29</t>
  </si>
  <si>
    <t>송파구 올림픽로 8길 22</t>
  </si>
  <si>
    <t>양천해누리타운</t>
    <phoneticPr fontId="3" type="noConversion"/>
  </si>
  <si>
    <t>양천구 목동동로 81</t>
  </si>
  <si>
    <t>양천구 가로공원로 133</t>
    <phoneticPr fontId="3" type="noConversion"/>
  </si>
  <si>
    <t>양천구 오목로5길 34</t>
  </si>
  <si>
    <t>양천구 목동남로 106-23</t>
  </si>
  <si>
    <t>13-415-003</t>
  </si>
  <si>
    <t>양천구 신월5동 52-2</t>
  </si>
  <si>
    <t>13-415-004</t>
  </si>
  <si>
    <t>양천구 신정1동 1051-11</t>
  </si>
  <si>
    <t>13-415-001</t>
  </si>
  <si>
    <t>양천구 신정3동 1287-5</t>
  </si>
  <si>
    <t>13-415-002</t>
  </si>
  <si>
    <t>양천구 신정7동 330-14</t>
  </si>
  <si>
    <t>양천구 신월로24길 19</t>
  </si>
  <si>
    <t>양천구 가로공원로86</t>
  </si>
  <si>
    <t>양천구 목동서로 339</t>
  </si>
  <si>
    <t>양천구 목동동로87</t>
  </si>
  <si>
    <t>양천구 목동동로1길 33</t>
  </si>
  <si>
    <t>양천구 목동동로 12길 7</t>
    <phoneticPr fontId="3" type="noConversion"/>
  </si>
  <si>
    <t>양천구 월정로 289</t>
  </si>
  <si>
    <t>양천구 목4동 765-1</t>
  </si>
  <si>
    <t>양천구 목동서로 337</t>
  </si>
  <si>
    <t>양천구 중앙로 250</t>
  </si>
  <si>
    <t>양천구 목동 517-12</t>
  </si>
  <si>
    <t>양천구 중앙로46길 57</t>
  </si>
  <si>
    <t>양천구 목동 중앙로55길 6-1</t>
  </si>
  <si>
    <t>양천구 지양로 37</t>
  </si>
  <si>
    <t>양천구 신정로 273-5</t>
  </si>
  <si>
    <t>양천구 남부순환로 33길 38</t>
  </si>
  <si>
    <t>양천구 목동중앙북로 24길 1-31</t>
    <phoneticPr fontId="3" type="noConversion"/>
  </si>
  <si>
    <t>양천구 신정동 산146</t>
  </si>
  <si>
    <t>양천구 목동중앙남로 57-14</t>
  </si>
  <si>
    <t>양천구 목동중앙본로73</t>
  </si>
  <si>
    <t>서울시 양천구 목동로3길 106</t>
  </si>
  <si>
    <t>서서울어르신종합복지관</t>
    <phoneticPr fontId="3" type="noConversion"/>
  </si>
  <si>
    <t>서울 양천구 가로공원로60가길 16</t>
  </si>
  <si>
    <t>20-415-001</t>
  </si>
  <si>
    <t>서울특별시 양천구 신월동1002-18</t>
  </si>
  <si>
    <t>강남구 광평로34길 124(수서동 산4-1)</t>
  </si>
  <si>
    <t>영등포아리수정수센터</t>
    <phoneticPr fontId="3" type="noConversion"/>
  </si>
  <si>
    <t>서울 영등포구 노들로 11</t>
  </si>
  <si>
    <t>영등포구 양화동 1-59</t>
  </si>
  <si>
    <t>영등포구 노들로 11</t>
  </si>
  <si>
    <t>서천연수원</t>
  </si>
  <si>
    <t>충남 서천군 서면 월호리 621</t>
  </si>
  <si>
    <t>충북 충주시 수안보면 동진이1길 99</t>
  </si>
  <si>
    <t>구로구 오류로 36-25</t>
  </si>
  <si>
    <t>강북구 삼양로 92길 40</t>
  </si>
  <si>
    <t>용산구 한남동 108</t>
  </si>
  <si>
    <t>도봉구 도당로2길 12-13</t>
  </si>
  <si>
    <t>성동구 마조로77</t>
  </si>
  <si>
    <t>서울시 구로구 새말로16길 7(구로동)</t>
  </si>
  <si>
    <t>다솜관</t>
    <phoneticPr fontId="3" type="noConversion"/>
  </si>
  <si>
    <t>다솜관 경사지붕</t>
    <phoneticPr fontId="3" type="noConversion"/>
  </si>
  <si>
    <t>인재개발원 다솜관3</t>
    <phoneticPr fontId="3" type="noConversion"/>
  </si>
  <si>
    <t>마포구 월드컵북로 44길 40</t>
  </si>
  <si>
    <t>노원구 상계동 772</t>
  </si>
  <si>
    <t>성동구 가람길 117</t>
  </si>
  <si>
    <t>13-023-001</t>
  </si>
  <si>
    <t>마포구 상암동 481-6</t>
  </si>
  <si>
    <t>성동구 자동차시장길 45</t>
  </si>
  <si>
    <t>양평군 용문면 화전로264</t>
  </si>
  <si>
    <t>영등포구 버드나루로24</t>
  </si>
  <si>
    <t>서초구 헌릉로 260</t>
  </si>
  <si>
    <t>동작구 여의대방로 54길 18</t>
  </si>
  <si>
    <t>금천구 독산로50길 23</t>
  </si>
  <si>
    <t>노원구 동일로174길 27 (공릉동)</t>
  </si>
  <si>
    <t>성북구 화랑로 134</t>
  </si>
  <si>
    <t>노원구 덕릉로70가길 98</t>
  </si>
  <si>
    <t>중구 태평로1가 60-1</t>
  </si>
  <si>
    <t>도봉구 시루봉로6길 33</t>
  </si>
  <si>
    <t>마포구 월드컵로 212</t>
  </si>
  <si>
    <t>13-300-001</t>
  </si>
  <si>
    <t>동대문구 답십리로 210-3 (답십리동 2-294)</t>
  </si>
  <si>
    <t>도봉구 노해로 63길 43</t>
  </si>
  <si>
    <t>도봉구 덕릉로 315</t>
  </si>
  <si>
    <t>마포구 방울내로 21</t>
    <phoneticPr fontId="3" type="noConversion"/>
  </si>
  <si>
    <t>마포구 상암산로1길 67</t>
  </si>
  <si>
    <t>마포구 창전동 3-242, 244, 248</t>
  </si>
  <si>
    <t>청계천유지용수</t>
    <phoneticPr fontId="3" type="noConversion"/>
  </si>
  <si>
    <t>성동구 성수1가1동 642-1</t>
    <phoneticPr fontId="3" type="noConversion"/>
  </si>
  <si>
    <t>강서구 개화동로8길 17</t>
  </si>
  <si>
    <t>용산구 동부이촌동 동부이촌지하차도 상부</t>
  </si>
  <si>
    <t>광진구 능동 18</t>
  </si>
  <si>
    <t>동대문구 외대역동로6길 3 (휘경동 135-9)</t>
  </si>
  <si>
    <t>동대문구 청계천로13길 13 (용두동 129-274)</t>
  </si>
  <si>
    <t>동대문구 사가정로 238-5 (장안동 301-4)</t>
  </si>
  <si>
    <t>성동구 청계천로 598 (용답동 129-25)</t>
  </si>
  <si>
    <t>동대문구 장한로 191 (장안동 300)</t>
  </si>
  <si>
    <t>마포구 마포동 36-1</t>
  </si>
  <si>
    <t>마포구 동교로 7</t>
  </si>
  <si>
    <t>빗물펌프장(난지)</t>
    <phoneticPr fontId="3" type="noConversion"/>
  </si>
  <si>
    <t>마포구 빗물펌프장(난지)</t>
  </si>
  <si>
    <t>마포구 토정로4길 55-9</t>
  </si>
  <si>
    <t>동작구 장승배기로 161</t>
  </si>
  <si>
    <t>서초구 양재대로12길 74</t>
  </si>
  <si>
    <t>광진구 능동로 216</t>
  </si>
  <si>
    <t>동대문구 회기로10길 60 (청량리동 206-19)</t>
  </si>
  <si>
    <t>마포구 신촌로26길 10</t>
  </si>
  <si>
    <t>강서구 개화동 506-2 일대</t>
  </si>
  <si>
    <t>13-202-002</t>
  </si>
  <si>
    <t>도봉산역환승센터</t>
    <phoneticPr fontId="3" type="noConversion"/>
  </si>
  <si>
    <t>도봉구 도봉동 288-19</t>
  </si>
  <si>
    <t>13-202-003</t>
  </si>
  <si>
    <t>마포구 월드컵로 243-48</t>
    <phoneticPr fontId="3" type="noConversion"/>
  </si>
  <si>
    <t>13-202-001</t>
  </si>
  <si>
    <t>종로구 서린동 63</t>
  </si>
  <si>
    <t>홍릉문화복지센터</t>
    <phoneticPr fontId="3" type="noConversion"/>
  </si>
  <si>
    <t>동대문구 홍릉로 81 (청량리동 203-1)</t>
    <phoneticPr fontId="3" type="noConversion"/>
  </si>
  <si>
    <t>중구 동호로 241</t>
  </si>
  <si>
    <t>구로구 경인로 430</t>
  </si>
  <si>
    <t>성동구 청계천로 540</t>
  </si>
  <si>
    <t>강서구 마곡서1로 111-12</t>
  </si>
  <si>
    <t>성동구 왕십리로 26길 29</t>
  </si>
  <si>
    <t>양천구 중앙로310</t>
  </si>
  <si>
    <t>양천구 신정로7길 17</t>
  </si>
  <si>
    <t>은평구 진관2로15-25</t>
  </si>
  <si>
    <t>광진구 능동로216</t>
  </si>
  <si>
    <t>13-406-001</t>
  </si>
  <si>
    <t>동대문구 한천로 329 (휘경동 367-1)</t>
  </si>
  <si>
    <t>13-410-001</t>
  </si>
  <si>
    <t>음식물중간처리장(1)</t>
    <phoneticPr fontId="3" type="noConversion"/>
  </si>
  <si>
    <t>도봉구 도봉로 969</t>
  </si>
  <si>
    <t>13-414-001</t>
  </si>
  <si>
    <t>13-420-001</t>
  </si>
  <si>
    <t>동작구 솔밭로 86</t>
  </si>
  <si>
    <t>송파구 충민로 99</t>
  </si>
  <si>
    <t>동대문구 사가정로 193</t>
  </si>
  <si>
    <t>동대문구 약령시로5길 22 (제기동 220)</t>
  </si>
  <si>
    <t>동대문구 약령시로 71 (제기동 830-1)</t>
  </si>
  <si>
    <t>동대문구 한천로11길 18 (답십리동 10-2)</t>
  </si>
  <si>
    <t>동대문구 서울시립대로4길 75 (답십리동 474-5)</t>
  </si>
  <si>
    <t>도봉구 덕릉로66길 84-1</t>
  </si>
  <si>
    <t>도봉구 도봉로169가길 52</t>
  </si>
  <si>
    <t>도봉구청사(1)</t>
    <phoneticPr fontId="3" type="noConversion"/>
  </si>
  <si>
    <t>도봉구 마들로 656</t>
  </si>
  <si>
    <t>새동네어울누리(1)</t>
    <phoneticPr fontId="3" type="noConversion"/>
  </si>
  <si>
    <t>도봉구 도봉산4길 28-3</t>
  </si>
  <si>
    <t>마포구 동교로 15길07</t>
  </si>
  <si>
    <t>동작구 대방동 385-2</t>
  </si>
  <si>
    <t>면목로 57길 32</t>
  </si>
  <si>
    <t>강남구 개포로 410</t>
  </si>
  <si>
    <t>강남구 광평로 59길 57</t>
  </si>
  <si>
    <t>중랑구 신내동 63-10</t>
  </si>
  <si>
    <t>동대문구 천호대로27길 35 (용두동 792-5)</t>
  </si>
  <si>
    <t>동대문구 사가정로 137 (전농동 688-2)</t>
  </si>
  <si>
    <t>동대문구 천호대로71길 29 (답십리동 484-45)</t>
  </si>
  <si>
    <t>동대문구 홍릉로12길 18 (청량리동 435)</t>
  </si>
  <si>
    <t>동대문구 한천로18길 48 (장안동 395-2)</t>
  </si>
  <si>
    <t>도봉구 창동 산 107-226</t>
  </si>
  <si>
    <t>도봉구 마들로 797</t>
  </si>
  <si>
    <t>도봉구 방학로 130-9</t>
  </si>
  <si>
    <t>도봉구 노해로 147</t>
  </si>
  <si>
    <t>도봉구 도봉로104길 101</t>
  </si>
  <si>
    <t>도봉구 창동 산24</t>
  </si>
  <si>
    <t>도봉구 덕릉로63길 76-10</t>
  </si>
  <si>
    <t>새동네어울누리(2)</t>
    <phoneticPr fontId="3" type="noConversion"/>
  </si>
  <si>
    <t>마포구 월드컵로25길 190</t>
  </si>
  <si>
    <t>마포구 상암산로1길 71</t>
  </si>
  <si>
    <t>동대문구 서울시립대로 163</t>
  </si>
  <si>
    <t>13-101-006</t>
  </si>
  <si>
    <t>동대문구 청계천로 521 (용두동 255-69)</t>
  </si>
  <si>
    <t>동대문구 한천로17길 7 (답십리동 2-283)</t>
  </si>
  <si>
    <t>도봉구 덕릉로59길 73-3</t>
  </si>
  <si>
    <t>도봉구 173길 40-5</t>
  </si>
  <si>
    <t>도봉구 시루봉로 17길 64</t>
  </si>
  <si>
    <t>도봉구 시루봉로 94</t>
  </si>
  <si>
    <t>도봉구 노해로 57길 62</t>
  </si>
  <si>
    <t>도봉구 노해로 149-5</t>
  </si>
  <si>
    <t>도봉구 해등로 32가길 16</t>
  </si>
  <si>
    <t>도봉구 덕릉로 62길 57-7</t>
  </si>
  <si>
    <t>도봉구 116길 41</t>
  </si>
  <si>
    <t>도봉구 마들로 849</t>
  </si>
  <si>
    <t>동작구 양녕로36길 15</t>
  </si>
  <si>
    <t>동작구 노량진로32길 62</t>
  </si>
  <si>
    <t>동작구 양녕로36길 13</t>
  </si>
  <si>
    <t>송파구 신천동 5번지</t>
  </si>
  <si>
    <t>13-101-002</t>
  </si>
  <si>
    <t>13-101-004</t>
  </si>
  <si>
    <t>13-101-003</t>
  </si>
  <si>
    <t>동대문구 사가정로 30 (답십리동 477-9)</t>
  </si>
  <si>
    <t>동대문구 휘경로 28 (이문동 306-14)</t>
  </si>
  <si>
    <t>도봉구 도봉동 353-3</t>
  </si>
  <si>
    <t>도봉산 수변무대 태양광쉼터</t>
    <phoneticPr fontId="3" type="noConversion"/>
  </si>
  <si>
    <t>도봉구 도봉동 416일대</t>
  </si>
  <si>
    <t>도봉구 도봉동 282-26</t>
  </si>
  <si>
    <t>도봉구 마들로 668</t>
  </si>
  <si>
    <t>도봉구 도봉동 636-22</t>
  </si>
  <si>
    <t>도봉구 시루봉로17길 42</t>
  </si>
  <si>
    <t>도봉구 방학로5길 34</t>
  </si>
  <si>
    <t>도봉구 덕릉로 66길 84-1</t>
  </si>
  <si>
    <t>마포구 만리재옛길 78-1</t>
  </si>
  <si>
    <t>마포구 성산로 128</t>
  </si>
  <si>
    <t>마포구 매봉산로 18</t>
  </si>
  <si>
    <t>동작구 사당동 316-40</t>
  </si>
  <si>
    <t>13-101-005</t>
  </si>
  <si>
    <t>13-101-001</t>
  </si>
  <si>
    <t>학생회관 태양광 발전설비(1)</t>
    <phoneticPr fontId="3" type="noConversion"/>
  </si>
  <si>
    <t>생활관 태양광 발전설비(1)</t>
    <phoneticPr fontId="3" type="noConversion"/>
  </si>
  <si>
    <t>학생회관 태양광 발전설비(2)</t>
    <phoneticPr fontId="3" type="noConversion"/>
  </si>
  <si>
    <t>생활관 태양광 발전설비(2)</t>
    <phoneticPr fontId="3" type="noConversion"/>
  </si>
  <si>
    <t>학생회관 태양광 발전설비(3)</t>
    <phoneticPr fontId="3" type="noConversion"/>
  </si>
  <si>
    <t>음악관 태양광 발전설비</t>
    <phoneticPr fontId="3" type="noConversion"/>
  </si>
  <si>
    <t>노원구 한글비석로 168</t>
    <phoneticPr fontId="3" type="noConversion"/>
  </si>
  <si>
    <t>동대문구 한빛로 62 (용두동 231-4)</t>
  </si>
  <si>
    <t>동대문구 고산자로28길 13 (용두동 29-3)</t>
  </si>
  <si>
    <t>동대문구 한천로58길 81-49 (이문동 189)</t>
  </si>
  <si>
    <t>동대문구 답십리로56길 89 (답십리동 23-3)</t>
  </si>
  <si>
    <t>도봉구 창포원로 45</t>
  </si>
  <si>
    <t>도봉구 도당로 85-7</t>
  </si>
  <si>
    <t>도봉구 도봉로169나길 22</t>
  </si>
  <si>
    <t>도봉구 방학로12길 28</t>
  </si>
  <si>
    <t>도봉구 도봉동 86-1</t>
  </si>
  <si>
    <t>도봉구 도당로13다길 39</t>
  </si>
  <si>
    <t>도봉구 노해로 390</t>
  </si>
  <si>
    <t>도봉구 우이천로4길 24-5</t>
  </si>
  <si>
    <t>도봉구 노해로42길60-3</t>
  </si>
  <si>
    <t>도봉구청사(2)</t>
    <phoneticPr fontId="3" type="noConversion"/>
  </si>
  <si>
    <t>음식물중간처리장(2)</t>
    <phoneticPr fontId="3" type="noConversion"/>
  </si>
  <si>
    <t>도봉구 방학로3길 117</t>
  </si>
  <si>
    <t>마포구 성산로4길 15</t>
  </si>
  <si>
    <t>동작구 여의대방로44길 39</t>
  </si>
  <si>
    <t>동작구 여의대방로16길 53</t>
  </si>
  <si>
    <t>동작구 상도로13길 16</t>
  </si>
  <si>
    <t>동작구 배봉로43</t>
  </si>
  <si>
    <t>동작구 흑석동 336-1</t>
  </si>
  <si>
    <t>13-215-001</t>
  </si>
  <si>
    <t>중구 을지로 281</t>
  </si>
  <si>
    <t>과천시 대공원광장로 102</t>
  </si>
  <si>
    <t>13-127-001</t>
  </si>
  <si>
    <t>서울대공원 오수처리장</t>
    <phoneticPr fontId="3" type="noConversion"/>
  </si>
  <si>
    <t>은평구 통일로 62길 7</t>
  </si>
  <si>
    <t>3호선 옥수역</t>
    <phoneticPr fontId="3" type="noConversion"/>
  </si>
  <si>
    <t>성동구 옥수동 168-01</t>
  </si>
  <si>
    <t>은평구 갈현로7길 49</t>
  </si>
  <si>
    <t>동대문구 답십리로38길 19 (답십리동 474-6)</t>
  </si>
  <si>
    <t>도봉구 시루봉로15다길 2(방학동)</t>
  </si>
  <si>
    <t>마포구 만리재로16길 20-8</t>
  </si>
  <si>
    <t>마포구 연남로11길 3</t>
  </si>
  <si>
    <t>마포구 월드컵북로50길 7-5</t>
  </si>
  <si>
    <t>마포구 월드컵북로38가길 8-1</t>
  </si>
  <si>
    <t>마포구 와우산로30길 79</t>
  </si>
  <si>
    <t>마포구 희우정로15길 25-9</t>
  </si>
  <si>
    <t>마포구 신촌로 210</t>
  </si>
  <si>
    <t>마포구 성산동 445</t>
  </si>
  <si>
    <t>마포구</t>
    <phoneticPr fontId="12" type="noConversion"/>
  </si>
  <si>
    <t>마포구 월드컵북로 494</t>
    <phoneticPr fontId="12" type="noConversion"/>
  </si>
  <si>
    <t>동작구 성대로 180</t>
  </si>
  <si>
    <t>사육신공원 상록수</t>
    <phoneticPr fontId="3" type="noConversion"/>
  </si>
  <si>
    <t>동작구 노량진1동 155-4</t>
  </si>
  <si>
    <t>용산구 한남대로 136</t>
  </si>
  <si>
    <t>노원구 덕릉로70가길 81</t>
  </si>
  <si>
    <t>13-121-001</t>
  </si>
  <si>
    <t>노원구 동일로 1238</t>
  </si>
  <si>
    <t>강동구 천호대로 1183</t>
    <phoneticPr fontId="3" type="noConversion"/>
  </si>
  <si>
    <t>서울시립미술관</t>
    <phoneticPr fontId="3" type="noConversion"/>
  </si>
  <si>
    <t>강북구</t>
    <phoneticPr fontId="3" type="noConversion"/>
  </si>
  <si>
    <t>금천구 시흥대로 138길 10-11</t>
    <phoneticPr fontId="3" type="noConversion"/>
  </si>
  <si>
    <t>마포구 월드컵북로 240</t>
    <phoneticPr fontId="3" type="noConversion"/>
  </si>
  <si>
    <t>동대문구 황물로 3</t>
    <phoneticPr fontId="3" type="noConversion"/>
  </si>
  <si>
    <t xml:space="preserve">은평구 갈현로 80
</t>
    <phoneticPr fontId="3" type="noConversion"/>
  </si>
  <si>
    <t>서울시립대학교</t>
    <phoneticPr fontId="3" type="noConversion"/>
  </si>
  <si>
    <t xml:space="preserve">시립대 인문학관 </t>
    <phoneticPr fontId="3" type="noConversion"/>
  </si>
  <si>
    <t>동대문구 서울시립대로 163</t>
    <phoneticPr fontId="3" type="noConversion"/>
  </si>
  <si>
    <t xml:space="preserve">북서울미술관 </t>
    <phoneticPr fontId="3" type="noConversion"/>
  </si>
  <si>
    <t>노원구 동일로 1238</t>
    <phoneticPr fontId="3" type="noConversion"/>
  </si>
  <si>
    <t xml:space="preserve">성산119안전센터 </t>
    <phoneticPr fontId="3" type="noConversion"/>
  </si>
  <si>
    <t xml:space="preserve">성수119안전센터 </t>
    <phoneticPr fontId="3" type="noConversion"/>
  </si>
  <si>
    <t>성동구 뚝섬로 452</t>
    <phoneticPr fontId="3" type="noConversion"/>
  </si>
  <si>
    <t xml:space="preserve">왕십리119안전센터 </t>
    <phoneticPr fontId="3" type="noConversion"/>
  </si>
  <si>
    <t>성동구 고산자로 249</t>
    <phoneticPr fontId="3" type="noConversion"/>
  </si>
  <si>
    <t>신트리 119안전센터</t>
    <phoneticPr fontId="3" type="noConversion"/>
  </si>
  <si>
    <t>양천구 신정로 238</t>
    <phoneticPr fontId="3" type="noConversion"/>
  </si>
  <si>
    <t>전농 119안전센터</t>
    <phoneticPr fontId="3" type="noConversion"/>
  </si>
  <si>
    <t>은평소방서</t>
    <phoneticPr fontId="3" type="noConversion"/>
  </si>
  <si>
    <t>은평구 수색로 320</t>
    <phoneticPr fontId="3" type="noConversion"/>
  </si>
  <si>
    <t>강서구</t>
    <phoneticPr fontId="3" type="noConversion"/>
  </si>
  <si>
    <t xml:space="preserve">화곡6-1공영주차장 </t>
    <phoneticPr fontId="3" type="noConversion"/>
  </si>
  <si>
    <t>강서구 우장산로 114</t>
    <phoneticPr fontId="3" type="noConversion"/>
  </si>
  <si>
    <t xml:space="preserve">신림동 공영주차장 </t>
    <phoneticPr fontId="3" type="noConversion"/>
  </si>
  <si>
    <t>관악구 신림동 1471-5</t>
    <phoneticPr fontId="3" type="noConversion"/>
  </si>
  <si>
    <t>광진구</t>
    <phoneticPr fontId="3" type="noConversion"/>
  </si>
  <si>
    <t xml:space="preserve">자양3동주민센터 </t>
    <phoneticPr fontId="3" type="noConversion"/>
  </si>
  <si>
    <t>광진구 뚝섬로 568</t>
    <phoneticPr fontId="3" type="noConversion"/>
  </si>
  <si>
    <t xml:space="preserve">광진구 보훈회관 </t>
    <phoneticPr fontId="3" type="noConversion"/>
  </si>
  <si>
    <t>광진구 아차산로 630</t>
    <phoneticPr fontId="3" type="noConversion"/>
  </si>
  <si>
    <t>송파구</t>
    <phoneticPr fontId="3" type="noConversion"/>
  </si>
  <si>
    <t xml:space="preserve">삼전제1경로당 </t>
    <phoneticPr fontId="3" type="noConversion"/>
  </si>
  <si>
    <t>송파구 백제고분로32길 6-30</t>
    <phoneticPr fontId="3" type="noConversion"/>
  </si>
  <si>
    <t>양천구</t>
    <phoneticPr fontId="3" type="noConversion"/>
  </si>
  <si>
    <t xml:space="preserve">구청 자전거보관소 </t>
    <phoneticPr fontId="3" type="noConversion"/>
  </si>
  <si>
    <t>양천구 목동동로 105</t>
    <phoneticPr fontId="3" type="noConversion"/>
  </si>
  <si>
    <t xml:space="preserve">강북문화예술회관 </t>
    <phoneticPr fontId="3" type="noConversion"/>
  </si>
  <si>
    <t>강북구 삼각산로 85</t>
    <phoneticPr fontId="3" type="noConversion"/>
  </si>
  <si>
    <t>마포구</t>
    <phoneticPr fontId="3" type="noConversion"/>
  </si>
  <si>
    <t xml:space="preserve">마포 아트센터 </t>
    <phoneticPr fontId="3" type="noConversion"/>
  </si>
  <si>
    <t>마포구 대흥로20길 28</t>
    <phoneticPr fontId="3" type="noConversion"/>
  </si>
  <si>
    <t>강북아리수정수센터</t>
    <phoneticPr fontId="3" type="noConversion"/>
  </si>
  <si>
    <t>침전지 상부</t>
    <phoneticPr fontId="3" type="noConversion"/>
  </si>
  <si>
    <t>남양주시 고산로 171</t>
    <phoneticPr fontId="3" type="noConversion"/>
  </si>
  <si>
    <t>원인미상</t>
  </si>
  <si>
    <t>100주년기념관 태양광 발전설비</t>
    <phoneticPr fontId="3" type="noConversion"/>
  </si>
  <si>
    <t>연번</t>
    <phoneticPr fontId="3" type="noConversion"/>
  </si>
  <si>
    <t>음식물처리장 내부수리</t>
    <phoneticPr fontId="3" type="noConversion"/>
  </si>
  <si>
    <t xml:space="preserve"> 시설노후</t>
    <phoneticPr fontId="3" type="noConversion"/>
  </si>
  <si>
    <t>건물리모델링</t>
    <phoneticPr fontId="3" type="noConversion"/>
  </si>
  <si>
    <t>기타(시설이전)</t>
    <phoneticPr fontId="3" type="noConversion"/>
  </si>
  <si>
    <t>기타(디자인고려 경사각 낮음)</t>
    <phoneticPr fontId="3" type="noConversion"/>
  </si>
  <si>
    <t>시설 정비중</t>
    <phoneticPr fontId="3" type="noConversion"/>
  </si>
  <si>
    <t>남가좌1동주민센터</t>
    <phoneticPr fontId="3" type="noConversion"/>
  </si>
  <si>
    <t>중랑물재생센터</t>
    <phoneticPr fontId="3" type="noConversion"/>
  </si>
  <si>
    <t>설치년도</t>
    <phoneticPr fontId="3" type="noConversion"/>
  </si>
  <si>
    <t>개소명</t>
    <phoneticPr fontId="3" type="noConversion"/>
  </si>
  <si>
    <t>설치용량
[KW]</t>
    <phoneticPr fontId="3" type="noConversion"/>
  </si>
  <si>
    <r>
      <t>역촌</t>
    </r>
    <r>
      <rPr>
        <sz val="10"/>
        <color rgb="FF000000"/>
        <rFont val="맑은 고딕"/>
        <family val="3"/>
        <charset val="129"/>
        <scheme val="minor"/>
      </rPr>
      <t>119</t>
    </r>
    <r>
      <rPr>
        <sz val="10"/>
        <color rgb="FF000000"/>
        <rFont val="신명 태명조"/>
        <family val="3"/>
        <charset val="129"/>
      </rPr>
      <t>안전센터</t>
    </r>
    <phoneticPr fontId="3" type="noConversion"/>
  </si>
  <si>
    <t>주변환경 변화에 따른 음영</t>
    <phoneticPr fontId="3" type="noConversion"/>
  </si>
  <si>
    <t>지지대</t>
    <phoneticPr fontId="3" type="noConversion"/>
  </si>
  <si>
    <t>ㅎㅎㅎ</t>
    <phoneticPr fontId="3" type="noConversion"/>
  </si>
  <si>
    <t>소용량</t>
  </si>
  <si>
    <t>2019년 예산</t>
  </si>
  <si>
    <t>ff</t>
    <phoneticPr fontId="3" type="noConversion"/>
  </si>
  <si>
    <t>ff</t>
    <phoneticPr fontId="3" type="noConversion"/>
  </si>
  <si>
    <t>ff</t>
    <phoneticPr fontId="3" type="noConversion"/>
  </si>
  <si>
    <t>행 레이블</t>
  </si>
  <si>
    <t xml:space="preserve"> 시설노후</t>
  </si>
  <si>
    <t>건물리모델링</t>
  </si>
  <si>
    <t>기타(디자인고려 경사각 낮음)</t>
  </si>
  <si>
    <t>기타(시설이전)</t>
  </si>
  <si>
    <t>디자인 태양광</t>
  </si>
  <si>
    <t>시설 정비중</t>
  </si>
  <si>
    <t>시설노후</t>
  </si>
  <si>
    <t>시설정비</t>
  </si>
  <si>
    <t>음식물처리장 내부수리</t>
  </si>
  <si>
    <t>주변환경 변화에 따른 음영</t>
  </si>
  <si>
    <t>총합계</t>
  </si>
  <si>
    <t>개수 : ff</t>
  </si>
  <si>
    <t>fff</t>
    <phoneticPr fontId="3" type="noConversion"/>
  </si>
  <si>
    <t>fff</t>
    <phoneticPr fontId="3" type="noConversion"/>
  </si>
  <si>
    <t>ffff</t>
    <phoneticPr fontId="3" type="noConversion"/>
  </si>
  <si>
    <t>연번
(윤한홍)</t>
    <phoneticPr fontId="3" type="noConversion"/>
  </si>
  <si>
    <t>서울에너지드림센터</t>
    <phoneticPr fontId="3" type="noConversion"/>
  </si>
  <si>
    <t>노원구 노원로16길 16</t>
    <phoneticPr fontId="3" type="noConversion"/>
  </si>
  <si>
    <t>은평소방서(1)</t>
    <phoneticPr fontId="3" type="noConversion"/>
  </si>
  <si>
    <t>서울에너지공사</t>
    <phoneticPr fontId="3" type="noConversion"/>
  </si>
  <si>
    <t>서울시 광진구 광장동 561-2 일대</t>
    <phoneticPr fontId="3" type="noConversion"/>
  </si>
  <si>
    <t>서울에너지공사</t>
    <phoneticPr fontId="3" type="noConversion"/>
  </si>
  <si>
    <t>천왕차량기지 태양광 발전소</t>
    <phoneticPr fontId="3" type="noConversion"/>
  </si>
  <si>
    <t>경기도 광명시 옥길동 9 일대</t>
    <phoneticPr fontId="3" type="noConversion"/>
  </si>
  <si>
    <t>모란차량기지 태양광 발전소</t>
    <phoneticPr fontId="3" type="noConversion"/>
  </si>
  <si>
    <t>경기도 성남시 중원구 여수동 226 일대</t>
    <phoneticPr fontId="3" type="noConversion"/>
  </si>
  <si>
    <t>방화차량기지 태양광 발전소</t>
    <phoneticPr fontId="3" type="noConversion"/>
  </si>
  <si>
    <t>서울시 강서구 개화동 287</t>
    <phoneticPr fontId="3" type="noConversion"/>
  </si>
  <si>
    <t>서울특별시 노원구 상계동 85-33</t>
  </si>
  <si>
    <t>13-425-005</t>
  </si>
  <si>
    <t>서울주택도시공사</t>
  </si>
  <si>
    <t>학생회관 태양광 발전설비(1)</t>
  </si>
  <si>
    <t>서울대공원 오수처리장</t>
  </si>
  <si>
    <t>도봉산역환승센터</t>
  </si>
  <si>
    <t>성북나눔발전소1호 (성북구의회)</t>
  </si>
  <si>
    <t>음식물중간처리장(1)</t>
  </si>
  <si>
    <t>구산보건지소</t>
  </si>
  <si>
    <t>내곡동주민센터</t>
  </si>
  <si>
    <t>빗살어린이집</t>
  </si>
  <si>
    <t>관리번호</t>
  </si>
  <si>
    <t>관리부서</t>
  </si>
  <si>
    <t>개소명</t>
  </si>
  <si>
    <t>설치년도</t>
  </si>
  <si>
    <t>금호119안전센터</t>
    <phoneticPr fontId="3" type="noConversion"/>
  </si>
  <si>
    <t>마포구 월드컵로 42길 34 상암119안전센터</t>
    <phoneticPr fontId="3" type="noConversion"/>
  </si>
  <si>
    <t>은평구 통일로 1031-21 소방학교본관</t>
    <phoneticPr fontId="3" type="noConversion"/>
  </si>
  <si>
    <t>성동구</t>
    <phoneticPr fontId="3" type="noConversion"/>
  </si>
  <si>
    <t>청소년정책과</t>
    <phoneticPr fontId="3" type="noConversion"/>
  </si>
  <si>
    <t>소방재난본부</t>
    <phoneticPr fontId="3" type="noConversion"/>
  </si>
  <si>
    <t>소방재난본부</t>
    <phoneticPr fontId="3" type="noConversion"/>
  </si>
  <si>
    <t>서울시립대학교</t>
    <phoneticPr fontId="3" type="noConversion"/>
  </si>
  <si>
    <t>강북아리수정수센터</t>
    <phoneticPr fontId="3" type="noConversion"/>
  </si>
  <si>
    <t>서울공예박물관</t>
    <phoneticPr fontId="3" type="noConversion"/>
  </si>
  <si>
    <t>중구</t>
    <phoneticPr fontId="3" type="noConversion"/>
  </si>
  <si>
    <t>중구</t>
    <phoneticPr fontId="3" type="noConversion"/>
  </si>
  <si>
    <t>성북구</t>
    <phoneticPr fontId="3" type="noConversion"/>
  </si>
  <si>
    <t>도봉구</t>
    <phoneticPr fontId="3" type="noConversion"/>
  </si>
  <si>
    <t>도봉구</t>
    <phoneticPr fontId="3" type="noConversion"/>
  </si>
  <si>
    <t>노원구</t>
    <phoneticPr fontId="3" type="noConversion"/>
  </si>
  <si>
    <t>서대문구</t>
    <phoneticPr fontId="3" type="noConversion"/>
  </si>
  <si>
    <t>구로구</t>
    <phoneticPr fontId="3" type="noConversion"/>
  </si>
  <si>
    <t>구로구</t>
    <phoneticPr fontId="3" type="noConversion"/>
  </si>
  <si>
    <t>금천구</t>
    <phoneticPr fontId="3" type="noConversion"/>
  </si>
  <si>
    <t>관악구</t>
    <phoneticPr fontId="3" type="noConversion"/>
  </si>
  <si>
    <t>성동구 독서당로 346</t>
    <phoneticPr fontId="3" type="noConversion"/>
  </si>
  <si>
    <t>연봉어린이집</t>
    <phoneticPr fontId="3" type="noConversion"/>
  </si>
  <si>
    <t>망원2동노인정</t>
    <phoneticPr fontId="3" type="noConversion"/>
  </si>
  <si>
    <t>성산119안전센터</t>
    <phoneticPr fontId="3" type="noConversion"/>
  </si>
  <si>
    <t>전농119안전센터</t>
    <phoneticPr fontId="3" type="noConversion"/>
  </si>
  <si>
    <t>역촌119안전센터</t>
    <phoneticPr fontId="3" type="noConversion"/>
  </si>
  <si>
    <t>은평소방서(2)</t>
    <phoneticPr fontId="3" type="noConversion"/>
  </si>
  <si>
    <t>건설공학관 증축 태양광 발전장치</t>
    <phoneticPr fontId="3" type="noConversion"/>
  </si>
  <si>
    <t>서울특별시 동대문구 서울시립대로 163</t>
    <phoneticPr fontId="3" type="noConversion"/>
  </si>
  <si>
    <t>경기도 남양주시 고산로 171</t>
  </si>
  <si>
    <t>서울 송파구 마천로</t>
  </si>
  <si>
    <t>서울 강동구 아리수로93가길 55 (강일동)</t>
  </si>
  <si>
    <t>고덕강일공공주택지구내 7단지</t>
    <phoneticPr fontId="3" type="noConversion"/>
  </si>
  <si>
    <t>서울 강동구 아리수로93가길 48-3(강일동 91)</t>
  </si>
  <si>
    <t>위례택지개발지구A1-3BL</t>
    <phoneticPr fontId="3" type="noConversion"/>
  </si>
  <si>
    <t>서울 송파구 거여동 33-20</t>
  </si>
  <si>
    <t>서울특별시 송파구 신천동 1</t>
  </si>
  <si>
    <t>목멱어린이집</t>
    <phoneticPr fontId="3" type="noConversion"/>
  </si>
  <si>
    <t>장위청소년문화누림센터</t>
    <phoneticPr fontId="3" type="noConversion"/>
  </si>
  <si>
    <t>정릉1동 커뮤니티센터</t>
    <phoneticPr fontId="3" type="noConversion"/>
  </si>
  <si>
    <t>초헌약수경로당</t>
    <phoneticPr fontId="3" type="noConversion"/>
  </si>
  <si>
    <t>서울특별시 은평구 대조동 172-23</t>
  </si>
  <si>
    <t>합정빗물펌프장</t>
    <phoneticPr fontId="3" type="noConversion"/>
  </si>
  <si>
    <t>망원나들목 체육관(망원동 배드민턴장)</t>
    <phoneticPr fontId="3" type="noConversion"/>
  </si>
  <si>
    <t>양천중앙도서관</t>
    <phoneticPr fontId="3" type="noConversion"/>
  </si>
  <si>
    <t>서울특별시 양천구 신정로7길 81</t>
    <phoneticPr fontId="3" type="noConversion"/>
  </si>
  <si>
    <t>서울특별시 구로구 고척동 산9-14</t>
  </si>
  <si>
    <t>서울특별시 구로구 구로동 549-8</t>
  </si>
  <si>
    <t>금천어울림복지센터</t>
    <phoneticPr fontId="3" type="noConversion"/>
  </si>
  <si>
    <t>신도림생활체육관</t>
    <phoneticPr fontId="3" type="noConversion"/>
  </si>
  <si>
    <t>서울특별시 구로구 경인로67길 149</t>
    <phoneticPr fontId="3" type="noConversion"/>
  </si>
  <si>
    <t>금산경로당</t>
    <phoneticPr fontId="3" type="noConversion"/>
  </si>
  <si>
    <t>성동보훈회관</t>
    <phoneticPr fontId="3" type="noConversion"/>
  </si>
  <si>
    <t>금하마을주민공동이용시설</t>
    <phoneticPr fontId="3" type="noConversion"/>
  </si>
  <si>
    <t>시립노원청소년센터</t>
    <phoneticPr fontId="3" type="noConversion"/>
  </si>
  <si>
    <t>서울시 노원구 덕릉로70길99 본관</t>
    <phoneticPr fontId="3" type="noConversion"/>
  </si>
  <si>
    <t>시립미래진로센터</t>
    <phoneticPr fontId="3" type="noConversion"/>
  </si>
  <si>
    <t>서울시 영등포구 영신로200 하자센터 본관</t>
    <phoneticPr fontId="3" type="noConversion"/>
  </si>
  <si>
    <t>성수119안전센터</t>
    <phoneticPr fontId="3" type="noConversion"/>
  </si>
  <si>
    <t>왕십리119안전센터</t>
    <phoneticPr fontId="3" type="noConversion"/>
  </si>
  <si>
    <t>배출수처리시설</t>
    <phoneticPr fontId="3" type="noConversion"/>
  </si>
  <si>
    <t>서울공예박물관</t>
    <phoneticPr fontId="3" type="noConversion"/>
  </si>
  <si>
    <t>서울 종로구 율곡로3길 4 (안국동)</t>
    <phoneticPr fontId="3" type="noConversion"/>
  </si>
  <si>
    <t>위례지구A1-13BL아파트</t>
    <phoneticPr fontId="3" type="noConversion"/>
  </si>
  <si>
    <t>고덕강일6단지아파트</t>
    <phoneticPr fontId="3" type="noConversion"/>
  </si>
  <si>
    <t>신정동행복주택</t>
    <phoneticPr fontId="3" type="noConversion"/>
  </si>
  <si>
    <t>서울특별시 양천구 신정동 163-36</t>
    <phoneticPr fontId="3" type="noConversion"/>
  </si>
  <si>
    <t>고덕강일공공주택지구9단지</t>
    <phoneticPr fontId="3" type="noConversion"/>
  </si>
  <si>
    <t>서울특별시 강동구 강일동 산22-36</t>
    <phoneticPr fontId="3" type="noConversion"/>
  </si>
  <si>
    <t>올림픽대로 태양광발전소</t>
    <phoneticPr fontId="3" type="noConversion"/>
  </si>
  <si>
    <t>중구교육지원센터(동화동 공영주차장)</t>
    <phoneticPr fontId="3" type="noConversion"/>
  </si>
  <si>
    <t>신당누리센터</t>
    <phoneticPr fontId="3" type="noConversion"/>
  </si>
  <si>
    <t>서울특별시 중구 신당동 300-6</t>
    <phoneticPr fontId="3" type="noConversion"/>
  </si>
  <si>
    <t>성동나눔공유센터</t>
    <phoneticPr fontId="3" type="noConversion"/>
  </si>
  <si>
    <t>옥수동공공복합청사</t>
    <phoneticPr fontId="3" type="noConversion"/>
  </si>
  <si>
    <t>광진구 보훈회관</t>
    <phoneticPr fontId="3" type="noConversion"/>
  </si>
  <si>
    <t>자양3동주민센터</t>
    <phoneticPr fontId="3" type="noConversion"/>
  </si>
  <si>
    <t>장위행복누림복지센터</t>
    <phoneticPr fontId="3" type="noConversion"/>
  </si>
  <si>
    <t>길음동문화복합미디어센터</t>
    <phoneticPr fontId="3" type="noConversion"/>
  </si>
  <si>
    <t>번2동 오현숲마을 마을활력소</t>
    <phoneticPr fontId="3" type="noConversion"/>
  </si>
  <si>
    <t>도봉햇빛나눔발전소3호기(다락원체육공원주차장)</t>
    <phoneticPr fontId="3" type="noConversion"/>
  </si>
  <si>
    <t>방아골종합사회복지관(2)</t>
    <phoneticPr fontId="3" type="noConversion"/>
  </si>
  <si>
    <t>신창시장 전통시장</t>
    <phoneticPr fontId="3" type="noConversion"/>
  </si>
  <si>
    <t>도봉햇빛나눔발전소4호기(창골축구장)</t>
    <phoneticPr fontId="3" type="noConversion"/>
  </si>
  <si>
    <t>청소년상담복지센터</t>
    <phoneticPr fontId="3" type="noConversion"/>
  </si>
  <si>
    <t>신사1어린이집</t>
    <phoneticPr fontId="3" type="noConversion"/>
  </si>
  <si>
    <t>서울특별시 은평구 은평로3가길 16</t>
    <phoneticPr fontId="3" type="noConversion"/>
  </si>
  <si>
    <t>보듬손어린이집</t>
    <phoneticPr fontId="3" type="noConversion"/>
  </si>
  <si>
    <t>서울특별시 은평구 통일로78길 16</t>
    <phoneticPr fontId="3" type="noConversion"/>
  </si>
  <si>
    <t>북아현문화체육센터</t>
    <phoneticPr fontId="3" type="noConversion"/>
  </si>
  <si>
    <t>마포 아트센터</t>
    <phoneticPr fontId="3" type="noConversion"/>
  </si>
  <si>
    <t>목동깨비시장 공유주차장 및 공유센터</t>
    <phoneticPr fontId="3" type="noConversion"/>
  </si>
  <si>
    <t>양천구 목동중앙북로6길 5</t>
    <phoneticPr fontId="3" type="noConversion"/>
  </si>
  <si>
    <t>신영시장 고객지원센터</t>
    <phoneticPr fontId="3" type="noConversion"/>
  </si>
  <si>
    <t xml:space="preserve">서울 양천구 월정로 161-5 </t>
    <phoneticPr fontId="3" type="noConversion"/>
  </si>
  <si>
    <t>양천구청사 자전거보관소</t>
    <phoneticPr fontId="3" type="noConversion"/>
  </si>
  <si>
    <t>서울 양천구 신정동321-8</t>
    <phoneticPr fontId="3" type="noConversion"/>
  </si>
  <si>
    <t>양천구청사 지하주차장</t>
    <phoneticPr fontId="3" type="noConversion"/>
  </si>
  <si>
    <t>화곡6-1공영주차장</t>
    <phoneticPr fontId="3" type="noConversion"/>
  </si>
  <si>
    <t>항동생활체육관</t>
    <phoneticPr fontId="3" type="noConversion"/>
  </si>
  <si>
    <t>서울특별시시 구로구 항동로 24</t>
    <phoneticPr fontId="3" type="noConversion"/>
  </si>
  <si>
    <t>고척근린공원 공용주차장</t>
    <phoneticPr fontId="3" type="noConversion"/>
  </si>
  <si>
    <t>구립샛별어린이집</t>
    <phoneticPr fontId="3" type="noConversion"/>
  </si>
  <si>
    <t>구립온새미어린이집</t>
    <phoneticPr fontId="3" type="noConversion"/>
  </si>
  <si>
    <t>서울특별시 구로구 새말로18길 130</t>
    <phoneticPr fontId="3" type="noConversion"/>
  </si>
  <si>
    <t>천왕동청소년문화의집</t>
    <phoneticPr fontId="3" type="noConversion"/>
  </si>
  <si>
    <t>서울특별시 구로구 오리로 1115</t>
    <phoneticPr fontId="3" type="noConversion"/>
  </si>
  <si>
    <t>금나래문화체육센터</t>
    <phoneticPr fontId="3" type="noConversion"/>
  </si>
  <si>
    <t>대명시장 상인회(공영주차장)</t>
    <phoneticPr fontId="3" type="noConversion"/>
  </si>
  <si>
    <t>신길4동 공공복합청사</t>
    <phoneticPr fontId="3" type="noConversion"/>
  </si>
  <si>
    <t>상도4동 주민편의복합청사</t>
    <phoneticPr fontId="3" type="noConversion"/>
  </si>
  <si>
    <t>신림동공영주차장</t>
    <phoneticPr fontId="3" type="noConversion"/>
  </si>
  <si>
    <t>세곡커뮤니티센터</t>
    <phoneticPr fontId="3" type="noConversion"/>
  </si>
  <si>
    <t>송파나눔발전소5호기(신천 유수지 빗물펌프장)</t>
    <phoneticPr fontId="3" type="noConversion"/>
  </si>
  <si>
    <t>송파구</t>
    <phoneticPr fontId="3" type="noConversion"/>
  </si>
  <si>
    <t>삼전제1경로당</t>
    <phoneticPr fontId="3" type="noConversion"/>
  </si>
  <si>
    <t>ㅇㅇ</t>
    <phoneticPr fontId="3" type="noConversion"/>
  </si>
  <si>
    <t>도봉구</t>
    <phoneticPr fontId="3" type="noConversion"/>
  </si>
  <si>
    <t>노원구</t>
    <phoneticPr fontId="3" type="noConversion"/>
  </si>
  <si>
    <t>편백경로당</t>
    <phoneticPr fontId="3" type="noConversion"/>
  </si>
  <si>
    <t>강동구</t>
    <phoneticPr fontId="3" type="noConversion"/>
  </si>
  <si>
    <t xml:space="preserve">암사1동3경로당 </t>
    <phoneticPr fontId="3" type="noConversion"/>
  </si>
  <si>
    <t>암사13길 13-3</t>
    <phoneticPr fontId="3" type="noConversion"/>
  </si>
  <si>
    <t>남부법마을어르신사랑방</t>
    <phoneticPr fontId="3" type="noConversion"/>
  </si>
  <si>
    <t>양천구 은행정로6길 23(신정동)</t>
    <phoneticPr fontId="3" type="noConversion"/>
  </si>
  <si>
    <t>수안보연수원</t>
    <phoneticPr fontId="3" type="noConversion"/>
  </si>
  <si>
    <t>하하호호마을활력소(홍제자전거보관소)</t>
    <phoneticPr fontId="3" type="noConversion"/>
  </si>
  <si>
    <t>당고개지구 당고개배드민턴장</t>
    <phoneticPr fontId="3" type="noConversion"/>
  </si>
  <si>
    <t>다산 성곽마을</t>
    <phoneticPr fontId="3" type="noConversion"/>
  </si>
  <si>
    <t>은평구</t>
    <phoneticPr fontId="3" type="noConversion"/>
  </si>
  <si>
    <t>녹색경로당</t>
    <phoneticPr fontId="3" type="noConversion"/>
  </si>
  <si>
    <t>여기소경로당</t>
    <phoneticPr fontId="3" type="noConversion"/>
  </si>
  <si>
    <t>어울누리 해솔경로당</t>
    <phoneticPr fontId="3" type="noConversion"/>
  </si>
  <si>
    <t>안심마을 경로당</t>
    <phoneticPr fontId="3" type="noConversion"/>
  </si>
  <si>
    <t>증산정보도서관</t>
    <phoneticPr fontId="3" type="noConversion"/>
  </si>
  <si>
    <t>관악구</t>
    <phoneticPr fontId="3" type="noConversion"/>
  </si>
  <si>
    <t>가족문화복지센터</t>
  </si>
  <si>
    <t>조원동제1공영주차장</t>
  </si>
  <si>
    <t>구립대학경로당</t>
  </si>
  <si>
    <t>소방재난본부</t>
    <phoneticPr fontId="3" type="noConversion"/>
  </si>
  <si>
    <t>마곡119안전센터</t>
    <phoneticPr fontId="3" type="noConversion"/>
  </si>
  <si>
    <t>강동구 둔춘동 6-3</t>
    <phoneticPr fontId="3" type="noConversion"/>
  </si>
  <si>
    <t>송파구 위례성대로 29</t>
    <phoneticPr fontId="3" type="noConversion"/>
  </si>
  <si>
    <t>봉제산 어르신복지센터</t>
    <phoneticPr fontId="3" type="noConversion"/>
  </si>
  <si>
    <t xml:space="preserve">화곡4동 주민센터 </t>
    <phoneticPr fontId="3" type="noConversion"/>
  </si>
  <si>
    <t>화곡보건분소</t>
    <phoneticPr fontId="3" type="noConversion"/>
  </si>
  <si>
    <t>쌍문동 청소년문화의집</t>
    <phoneticPr fontId="10" type="noConversion"/>
  </si>
  <si>
    <t>김근태기념도서관</t>
    <phoneticPr fontId="10" type="noConversion"/>
  </si>
  <si>
    <t>청학경로당</t>
    <phoneticPr fontId="10" type="noConversion"/>
  </si>
  <si>
    <t>윗들경로당</t>
    <phoneticPr fontId="10" type="noConversion"/>
  </si>
  <si>
    <t xml:space="preserve">SK북한산시티 아파트 </t>
    <phoneticPr fontId="3" type="noConversion"/>
  </si>
  <si>
    <t>미아SH빌</t>
    <phoneticPr fontId="3" type="noConversion"/>
  </si>
  <si>
    <t xml:space="preserve">서울시 강북구 솔샘로 174  </t>
    <phoneticPr fontId="3" type="noConversion"/>
  </si>
  <si>
    <t>올림픽기념국민생활관</t>
    <phoneticPr fontId="3" type="noConversion"/>
  </si>
  <si>
    <t>서소문청사1동 건물일체형 태양광(BIPV) 발전장치 조달구매</t>
    <phoneticPr fontId="3" type="noConversion"/>
  </si>
  <si>
    <t>서울시 강서구 마곡동 771-1</t>
    <phoneticPr fontId="3" type="noConversion"/>
  </si>
  <si>
    <t>서울창업허브 M+센터</t>
    <phoneticPr fontId="3" type="noConversion"/>
  </si>
  <si>
    <t>창동 아우르네</t>
    <phoneticPr fontId="3" type="noConversion"/>
  </si>
  <si>
    <t>서울시 도봉구 마들로 13길 84</t>
    <phoneticPr fontId="3" type="noConversion"/>
  </si>
  <si>
    <t>서남물재생센터 제2처리장 최초침전지</t>
    <phoneticPr fontId="3" type="noConversion"/>
  </si>
  <si>
    <t>영등포보현 종합지원센터</t>
    <phoneticPr fontId="3" type="noConversion"/>
  </si>
  <si>
    <t>서울의료원 권역응급의료센터 증축</t>
    <phoneticPr fontId="3" type="noConversion"/>
  </si>
  <si>
    <t>정릉시장 고객편의센터</t>
    <phoneticPr fontId="3" type="noConversion"/>
  </si>
  <si>
    <t>청년살이발전소</t>
    <phoneticPr fontId="3" type="noConversion"/>
  </si>
  <si>
    <t>동부수도사업소</t>
    <phoneticPr fontId="3" type="noConversion"/>
  </si>
  <si>
    <t>서울특별시 중랑구 신내동 230-2</t>
    <phoneticPr fontId="3" type="noConversion"/>
  </si>
  <si>
    <t>성수1가2동 공공복합청사</t>
    <phoneticPr fontId="3" type="noConversion"/>
  </si>
  <si>
    <t>행당2동 주민센터</t>
    <phoneticPr fontId="3" type="noConversion"/>
  </si>
  <si>
    <t>성동아이사랑복합문화센터</t>
    <phoneticPr fontId="3" type="noConversion"/>
  </si>
  <si>
    <t>광나루 태양광 발전소</t>
    <phoneticPr fontId="3" type="noConversion"/>
  </si>
  <si>
    <t>경동시장 신관</t>
    <phoneticPr fontId="3" type="noConversion"/>
  </si>
  <si>
    <t>서울시 동대문구 제기동 1019</t>
    <phoneticPr fontId="3" type="noConversion"/>
  </si>
  <si>
    <t>배재고등학교 태양광 발전소</t>
    <phoneticPr fontId="3" type="noConversion"/>
  </si>
  <si>
    <t>서울시 강동구 고덕로 227</t>
  </si>
  <si>
    <t>강동아트센터(3)</t>
    <phoneticPr fontId="3" type="noConversion"/>
  </si>
  <si>
    <t>도시농업파믹스센터</t>
    <phoneticPr fontId="3" type="noConversion"/>
  </si>
  <si>
    <t>천호빗물펌프장(강동나눔발전소1호기)</t>
    <phoneticPr fontId="3" type="noConversion"/>
  </si>
  <si>
    <t>서울시 강동구 동남로 870 (상일동)</t>
    <phoneticPr fontId="3" type="noConversion"/>
  </si>
  <si>
    <t>서울시 강동구 고덕로 314</t>
    <phoneticPr fontId="3" type="noConversion"/>
  </si>
  <si>
    <t>서울시 강동구 선사로 70</t>
    <phoneticPr fontId="3" type="noConversion"/>
  </si>
  <si>
    <t>건강가정 다문화가족 지원센터</t>
    <phoneticPr fontId="3" type="noConversion"/>
  </si>
  <si>
    <t>금천구 시설관리공단 본부</t>
    <phoneticPr fontId="3" type="noConversion"/>
  </si>
  <si>
    <t>영보경로 문화센터</t>
    <phoneticPr fontId="3" type="noConversion"/>
  </si>
  <si>
    <t>빨래골 생활공작소</t>
    <phoneticPr fontId="3" type="noConversion"/>
  </si>
  <si>
    <t>강북구 수유동 486-823호, 486-722호</t>
    <phoneticPr fontId="3" type="noConversion"/>
  </si>
  <si>
    <t>잠실안내센터 추가설치</t>
    <phoneticPr fontId="3" type="noConversion"/>
  </si>
  <si>
    <t>서울시 송파구 잠실동 1번지</t>
    <phoneticPr fontId="3" type="noConversion"/>
  </si>
  <si>
    <t>건강힐링문화관</t>
    <phoneticPr fontId="3" type="noConversion"/>
  </si>
  <si>
    <t>서울시 양천구 남부순환로83길54</t>
    <phoneticPr fontId="3" type="noConversion"/>
  </si>
  <si>
    <t>소망어르신사랑방</t>
    <phoneticPr fontId="3" type="noConversion"/>
  </si>
  <si>
    <t>서울시 양천구 신월4동 436-6</t>
    <phoneticPr fontId="3" type="noConversion"/>
  </si>
  <si>
    <t>지양어르신사랑방</t>
    <phoneticPr fontId="3" type="noConversion"/>
  </si>
  <si>
    <t>서울시 양천구 신월7동 331-104</t>
    <phoneticPr fontId="3" type="noConversion"/>
  </si>
  <si>
    <t>서부어르신사랑방</t>
    <phoneticPr fontId="3" type="noConversion"/>
  </si>
  <si>
    <t>서울시 양천구 신정4동 882-11</t>
    <phoneticPr fontId="3" type="noConversion"/>
  </si>
  <si>
    <t>신남어르신사랑방</t>
  </si>
  <si>
    <t>신월6동 복합청사</t>
    <phoneticPr fontId="3" type="noConversion"/>
  </si>
  <si>
    <t xml:space="preserve">목사랑시장 고객지원센터 </t>
    <phoneticPr fontId="3" type="noConversion"/>
  </si>
  <si>
    <t>도봉2동 청소년 문화의 집</t>
    <phoneticPr fontId="10" type="noConversion"/>
  </si>
  <si>
    <t>서울시 양천구 신월3동 198-22</t>
    <phoneticPr fontId="3" type="noConversion"/>
  </si>
  <si>
    <t>서울시 양천구 남부순환로83길 53</t>
    <phoneticPr fontId="3" type="noConversion"/>
  </si>
  <si>
    <t>서울시 양천구 목동중앙남로 7길 8</t>
    <phoneticPr fontId="3" type="noConversion"/>
  </si>
  <si>
    <t>서울시 양천구 목동중앙로13길 22</t>
    <phoneticPr fontId="3" type="noConversion"/>
  </si>
  <si>
    <t>서울시 양천구 목동로15길 24</t>
    <phoneticPr fontId="3" type="noConversion"/>
  </si>
  <si>
    <t>서울시 중구 덕수궁길 15, 서소문청사 1동</t>
    <phoneticPr fontId="3" type="noConversion"/>
  </si>
  <si>
    <t>서울시 은평구 은평로 11길 21</t>
    <phoneticPr fontId="3" type="noConversion"/>
  </si>
  <si>
    <t>서울시 은평구 의상봉길 8</t>
    <phoneticPr fontId="3" type="noConversion"/>
  </si>
  <si>
    <t>서울시 은평구 역말로 83-11</t>
    <phoneticPr fontId="3" type="noConversion"/>
  </si>
  <si>
    <t>서울시 은평구 진흥로 7나길 12-5</t>
    <phoneticPr fontId="3" type="noConversion"/>
  </si>
  <si>
    <t>서울시 은평구 증산로 5길 6</t>
    <phoneticPr fontId="3" type="noConversion"/>
  </si>
  <si>
    <t xml:space="preserve">서울시 강북구 삼양로 246-14 </t>
    <phoneticPr fontId="3" type="noConversion"/>
  </si>
  <si>
    <t>동부수도사업소(신내배수지)</t>
    <phoneticPr fontId="3" type="noConversion"/>
  </si>
  <si>
    <t>궁동경로당 제로에너지건물 리모델링(경로당)</t>
    <phoneticPr fontId="3" type="noConversion"/>
  </si>
  <si>
    <t>서울시 구로구 부일로17길 158-4</t>
    <phoneticPr fontId="3" type="noConversion"/>
  </si>
  <si>
    <t>나래어린이집 제로에너지건물</t>
    <phoneticPr fontId="3" type="noConversion"/>
  </si>
  <si>
    <t>백곡경로당 제로에너지건물 리모델링</t>
    <phoneticPr fontId="3" type="noConversion"/>
  </si>
  <si>
    <t>화원경로당 제로에너지건물 리모델링</t>
    <phoneticPr fontId="3" type="noConversion"/>
  </si>
  <si>
    <t xml:space="preserve">중앙경로당 </t>
    <phoneticPr fontId="3" type="noConversion"/>
  </si>
  <si>
    <t xml:space="preserve">고척어린이집 </t>
    <phoneticPr fontId="3" type="noConversion"/>
  </si>
  <si>
    <t>서울시 구로구 고척동 14-1</t>
    <phoneticPr fontId="3" type="noConversion"/>
  </si>
  <si>
    <t>구로2동 공영주차장</t>
    <phoneticPr fontId="3" type="noConversion"/>
  </si>
  <si>
    <t xml:space="preserve">모아래 마을활력소 </t>
    <phoneticPr fontId="3" type="noConversion"/>
  </si>
  <si>
    <t>서울시 구로동로28길 81</t>
    <phoneticPr fontId="3" type="noConversion"/>
  </si>
  <si>
    <t>서울시 남부순환로105길 198</t>
    <phoneticPr fontId="3" type="noConversion"/>
  </si>
  <si>
    <t>궁동경로당 제로에너지건물 리모델링(궁동데이케어센터)</t>
    <phoneticPr fontId="3" type="noConversion"/>
  </si>
  <si>
    <t>서울시 구로구 고척로1길 14-41</t>
    <phoneticPr fontId="3" type="noConversion"/>
  </si>
  <si>
    <t>서울시 구로구 고척로21길 85</t>
    <phoneticPr fontId="3" type="noConversion"/>
  </si>
  <si>
    <t>서울시 구로구 벚꽃로 490</t>
    <phoneticPr fontId="3" type="noConversion"/>
  </si>
  <si>
    <t>서울시 구로구 개봉로15길 58-2</t>
    <phoneticPr fontId="3" type="noConversion"/>
  </si>
  <si>
    <t>구로구</t>
    <phoneticPr fontId="3" type="noConversion"/>
  </si>
  <si>
    <t>구로구</t>
    <phoneticPr fontId="3" type="noConversion"/>
  </si>
  <si>
    <t>구로구</t>
    <phoneticPr fontId="3" type="noConversion"/>
  </si>
  <si>
    <t>도봉구</t>
    <phoneticPr fontId="3" type="noConversion"/>
  </si>
  <si>
    <t>종로구</t>
    <phoneticPr fontId="3" type="noConversion"/>
  </si>
  <si>
    <t>총무과</t>
    <phoneticPr fontId="3" type="noConversion"/>
  </si>
  <si>
    <t>서울물재생시설공단</t>
    <phoneticPr fontId="3" type="noConversion"/>
  </si>
  <si>
    <t>서울의료원</t>
    <phoneticPr fontId="3" type="noConversion"/>
  </si>
  <si>
    <t>성북구</t>
    <phoneticPr fontId="3" type="noConversion"/>
  </si>
  <si>
    <t>서울에너지공사</t>
    <phoneticPr fontId="3" type="noConversion"/>
  </si>
  <si>
    <t>강동구</t>
    <phoneticPr fontId="3" type="noConversion"/>
  </si>
  <si>
    <t>금천구</t>
    <phoneticPr fontId="3" type="noConversion"/>
  </si>
  <si>
    <t>양천구 신정로14길 1</t>
    <phoneticPr fontId="3" type="noConversion"/>
  </si>
  <si>
    <t>관악구 구암길 106(봉천동 1712-1)</t>
    <phoneticPr fontId="3" type="noConversion"/>
  </si>
  <si>
    <t>성동구 마조로15가길 23 (마장동, 마장 에스에이치빌)</t>
    <phoneticPr fontId="3" type="noConversion"/>
  </si>
  <si>
    <t>동작구 만양로 19 (노량진동, 신동아리버파크아파트)</t>
    <phoneticPr fontId="3" type="noConversion"/>
  </si>
  <si>
    <t>강남구 헌릉로590길 88 (세곡동, 세곡리엔파크4단지)</t>
    <phoneticPr fontId="3" type="noConversion"/>
  </si>
  <si>
    <t>암사 야생탐사센터</t>
    <phoneticPr fontId="3" type="noConversion"/>
  </si>
  <si>
    <t>영등포구 디지털로 441</t>
    <phoneticPr fontId="3" type="noConversion"/>
  </si>
  <si>
    <t>데이터센터 에스플렉스센터 운영과</t>
    <phoneticPr fontId="3" type="noConversion"/>
  </si>
  <si>
    <t>마포구 가양대로 203</t>
    <phoneticPr fontId="3" type="noConversion"/>
  </si>
  <si>
    <t>마포구 월드컵로42길 13</t>
    <phoneticPr fontId="3" type="noConversion"/>
  </si>
  <si>
    <t>서초50플러스센터</t>
    <phoneticPr fontId="3" type="noConversion"/>
  </si>
  <si>
    <t>시립미래진로센터</t>
    <phoneticPr fontId="3" type="noConversion"/>
  </si>
  <si>
    <t>긴고랑계곡화장실</t>
    <phoneticPr fontId="3" type="noConversion"/>
  </si>
  <si>
    <t>은평문학관</t>
    <phoneticPr fontId="3" type="noConversion"/>
  </si>
  <si>
    <t>중계펌프동</t>
    <phoneticPr fontId="3" type="noConversion"/>
  </si>
  <si>
    <t>미성체육관</t>
    <phoneticPr fontId="3" type="noConversion"/>
  </si>
  <si>
    <t>석관미리내도서관</t>
  </si>
  <si>
    <t>신림빗물펌프장</t>
  </si>
  <si>
    <t>소방재난본부</t>
    <phoneticPr fontId="3" type="noConversion"/>
  </si>
  <si>
    <t>금천구</t>
    <phoneticPr fontId="3" type="noConversion"/>
  </si>
  <si>
    <t>가산동주민센터</t>
    <phoneticPr fontId="3" type="noConversion"/>
  </si>
  <si>
    <t>마을공동체지원센터</t>
    <phoneticPr fontId="3" type="noConversion"/>
  </si>
  <si>
    <t>새싹어린이집</t>
    <phoneticPr fontId="3" type="noConversion"/>
  </si>
  <si>
    <t>초록빛어린이집</t>
    <phoneticPr fontId="3" type="noConversion"/>
  </si>
  <si>
    <t>영등포아리수정수센터 병물동</t>
    <phoneticPr fontId="3" type="noConversion"/>
  </si>
  <si>
    <t>금천소방서</t>
    <phoneticPr fontId="3" type="noConversion"/>
  </si>
  <si>
    <t>북부공원여가센터</t>
  </si>
  <si>
    <t>남산청사(별관)</t>
  </si>
  <si>
    <t>중부공원여가센터</t>
  </si>
  <si>
    <t>송파구</t>
    <phoneticPr fontId="3" type="noConversion"/>
  </si>
  <si>
    <t>신천경로당</t>
    <phoneticPr fontId="3" type="noConversion"/>
  </si>
  <si>
    <t>돌마리어린이집</t>
  </si>
  <si>
    <t>서울에너지공사</t>
    <phoneticPr fontId="3" type="noConversion"/>
  </si>
  <si>
    <t>여주시 대신면 태양광발전소</t>
    <phoneticPr fontId="3" type="noConversion"/>
  </si>
  <si>
    <t>여주시 대신면 하림리 산73, 596-5</t>
    <phoneticPr fontId="3" type="noConversion"/>
  </si>
  <si>
    <t>도봉구</t>
    <phoneticPr fontId="3" type="noConversion"/>
  </si>
  <si>
    <t>도봉구</t>
    <phoneticPr fontId="3" type="noConversion"/>
  </si>
  <si>
    <t>도봉동실내스포츠센터</t>
  </si>
  <si>
    <t>창1동 주민센터</t>
  </si>
  <si>
    <t>도봉구청사 BIPV</t>
  </si>
  <si>
    <t>서울숲복합문화체육센터</t>
    <phoneticPr fontId="3" type="noConversion"/>
  </si>
  <si>
    <t>왕십리제2동 공공복합청사</t>
    <phoneticPr fontId="3" type="noConversion"/>
  </si>
  <si>
    <t>광진정보도서관(문화동)</t>
  </si>
  <si>
    <t>광장제1경로당</t>
  </si>
  <si>
    <t>광장제2경로당</t>
  </si>
  <si>
    <t>서울시립대학교</t>
    <phoneticPr fontId="3" type="noConversion"/>
  </si>
  <si>
    <t>미래융합관</t>
    <phoneticPr fontId="3" type="noConversion"/>
  </si>
  <si>
    <t>서울시 동대문구 서울시립대로 163, 미래융합관</t>
    <phoneticPr fontId="3" type="noConversion"/>
  </si>
  <si>
    <t>서강동 주민센터</t>
    <phoneticPr fontId="3" type="noConversion"/>
  </si>
  <si>
    <t>서남물재생센터 발전기동, 탈수기동</t>
    <phoneticPr fontId="3" type="noConversion"/>
  </si>
  <si>
    <t>동대문구</t>
    <phoneticPr fontId="3" type="noConversion"/>
  </si>
  <si>
    <t xml:space="preserve">신이문2빗물펌프장 </t>
    <phoneticPr fontId="3" type="noConversion"/>
  </si>
  <si>
    <t xml:space="preserve">휘경1빗물펌프장 </t>
    <phoneticPr fontId="3" type="noConversion"/>
  </si>
  <si>
    <t xml:space="preserve">전농장안빗물펌프장 </t>
    <phoneticPr fontId="3" type="noConversion"/>
  </si>
  <si>
    <t>답십리 영화미디어아트센터</t>
    <phoneticPr fontId="3" type="noConversion"/>
  </si>
  <si>
    <t>동대문구청사</t>
    <phoneticPr fontId="3" type="noConversion"/>
  </si>
  <si>
    <t>남성사계시장 고객지원센터</t>
  </si>
  <si>
    <t>동작구 동작대로 29길 47</t>
  </si>
  <si>
    <t>까망돌도서관</t>
  </si>
  <si>
    <t>동작구 서달로 129(흑석동)</t>
  </si>
  <si>
    <t>동작구 상도2동 176-3</t>
  </si>
  <si>
    <t>탄천물재생센터 주차장</t>
    <phoneticPr fontId="3" type="noConversion"/>
  </si>
  <si>
    <t xml:space="preserve">소나무협동마을 </t>
    <phoneticPr fontId="3" type="noConversion"/>
  </si>
  <si>
    <t>강북구 미아동 745-120</t>
    <phoneticPr fontId="3" type="noConversion"/>
  </si>
  <si>
    <t>서대문구의회</t>
  </si>
  <si>
    <t>남가좌2동제2공영주차장</t>
  </si>
  <si>
    <t>신촌경로당(어르신복지과)</t>
  </si>
  <si>
    <t>백련경로당(어르신복지과)</t>
  </si>
  <si>
    <t>구청 3별관(행정지원과 설치)</t>
  </si>
  <si>
    <t>은평구민체육센터 야외주차장</t>
  </si>
  <si>
    <t>서울시 은평구 진관 1로 40</t>
  </si>
  <si>
    <t>산새마을공동이용시설</t>
  </si>
  <si>
    <t>가좌로11나길 19</t>
  </si>
  <si>
    <t>강동구</t>
    <phoneticPr fontId="3" type="noConversion"/>
  </si>
  <si>
    <t>고덕2동 경로당</t>
    <phoneticPr fontId="3" type="noConversion"/>
  </si>
  <si>
    <t>구립고일경로당</t>
    <phoneticPr fontId="3" type="noConversion"/>
  </si>
  <si>
    <t>달님경로당</t>
    <phoneticPr fontId="3" type="noConversion"/>
  </si>
  <si>
    <t>새장터 경로당</t>
    <phoneticPr fontId="3" type="noConversion"/>
  </si>
  <si>
    <t>암사1동 제2경로당</t>
    <phoneticPr fontId="3" type="noConversion"/>
  </si>
  <si>
    <t>암사3동 주민센터</t>
    <phoneticPr fontId="3" type="noConversion"/>
  </si>
  <si>
    <t>서울 강동구 상일로21길 14-7</t>
    <phoneticPr fontId="3" type="noConversion"/>
  </si>
  <si>
    <t>서울 강동구 아리수로64길 29</t>
    <phoneticPr fontId="3" type="noConversion"/>
  </si>
  <si>
    <t>서울 강동구 양재대로112길 52</t>
    <phoneticPr fontId="3" type="noConversion"/>
  </si>
  <si>
    <t>서울 강동구 암사1가길 16</t>
    <phoneticPr fontId="3" type="noConversion"/>
  </si>
  <si>
    <t>서울 강동구 고덕로24길 23</t>
    <phoneticPr fontId="3" type="noConversion"/>
  </si>
  <si>
    <t>서울 강동구 고덕로137</t>
    <phoneticPr fontId="3" type="noConversion"/>
  </si>
  <si>
    <t>강서자원순환센터</t>
    <phoneticPr fontId="3" type="noConversion"/>
  </si>
  <si>
    <t>노원구 청사</t>
    <phoneticPr fontId="3" type="noConversion"/>
  </si>
  <si>
    <t>계남다목적체육관 주차장</t>
  </si>
  <si>
    <t>서울시 양천구 남부순환로56가길 13</t>
  </si>
  <si>
    <t>서울시 양천구 신정동 1320-9</t>
  </si>
  <si>
    <t xml:space="preserve">신원어르신어울림센터 </t>
  </si>
  <si>
    <t>서울시 양천구 남부순환로46길 12</t>
  </si>
  <si>
    <t>은평구 수색로 282</t>
    <phoneticPr fontId="3" type="noConversion"/>
  </si>
  <si>
    <t>구립용산노인전문요양원</t>
  </si>
  <si>
    <t>인문학관 태양광발전시설</t>
    <phoneticPr fontId="3" type="noConversion"/>
  </si>
  <si>
    <t>시립동부아동복지센터</t>
    <phoneticPr fontId="3" type="noConversion"/>
  </si>
  <si>
    <t>서울영어마을 수유캠프</t>
  </si>
  <si>
    <t>서울시 강북구 수유동 522번지</t>
  </si>
  <si>
    <t>자활지원과</t>
    <phoneticPr fontId="3" type="noConversion"/>
  </si>
  <si>
    <t>성동구 가림길 125</t>
    <phoneticPr fontId="3" type="noConversion"/>
  </si>
  <si>
    <t>24시간게스트하우스</t>
    <phoneticPr fontId="3" type="noConversion"/>
  </si>
  <si>
    <t>정신건강과</t>
    <phoneticPr fontId="3" type="noConversion"/>
  </si>
  <si>
    <t>평생교육과</t>
    <phoneticPr fontId="3" type="noConversion"/>
  </si>
  <si>
    <t>어르신복지과</t>
    <phoneticPr fontId="3" type="noConversion"/>
  </si>
  <si>
    <t>광진정보도서관(도서관동)</t>
    <phoneticPr fontId="3" type="noConversion"/>
  </si>
  <si>
    <t>기후환경정책과</t>
    <phoneticPr fontId="3" type="noConversion"/>
  </si>
  <si>
    <t>자원회수시설과</t>
    <phoneticPr fontId="3" type="noConversion"/>
  </si>
  <si>
    <t>서울백제어린이박물관(구. 몽촌역사관)</t>
    <phoneticPr fontId="3" type="noConversion"/>
  </si>
  <si>
    <t>동작구</t>
    <phoneticPr fontId="3" type="noConversion"/>
  </si>
  <si>
    <t>국립서울현충원 태양의계단</t>
    <phoneticPr fontId="3" type="noConversion"/>
  </si>
  <si>
    <t>동작구 동작동 326 동작역 8번출구</t>
    <phoneticPr fontId="3" type="noConversion"/>
  </si>
  <si>
    <t>배나무골 경로당</t>
    <phoneticPr fontId="3" type="noConversion"/>
  </si>
  <si>
    <t>시립성북노인종합복지관 별관</t>
    <phoneticPr fontId="3" type="noConversion"/>
  </si>
  <si>
    <t>성북구 종암로21길 21-4</t>
    <phoneticPr fontId="3" type="noConversion"/>
  </si>
  <si>
    <t>서울경제진흥원</t>
    <phoneticPr fontId="3" type="noConversion"/>
  </si>
  <si>
    <t>도봉구보건소(도봉시민햇빛발전소 4호기)</t>
    <phoneticPr fontId="3" type="noConversion"/>
  </si>
  <si>
    <t>약수경로당</t>
    <phoneticPr fontId="3" type="noConversion"/>
  </si>
  <si>
    <t>창3동 주민생활공동이용시설</t>
    <phoneticPr fontId="3" type="noConversion"/>
  </si>
  <si>
    <t>쌍문2동 주민센터</t>
    <phoneticPr fontId="3" type="noConversion"/>
  </si>
  <si>
    <t>마들스포츠타운 공영주차장</t>
    <phoneticPr fontId="3" type="noConversion"/>
  </si>
  <si>
    <t>노원구 상계동 770-2</t>
    <phoneticPr fontId="3" type="noConversion"/>
  </si>
  <si>
    <t>노원어린이도서관</t>
    <phoneticPr fontId="3" type="noConversion"/>
  </si>
  <si>
    <t>노원구 한글비석로 346</t>
    <phoneticPr fontId="3" type="noConversion"/>
  </si>
  <si>
    <t>신사동 복합청사</t>
    <phoneticPr fontId="3" type="noConversion"/>
  </si>
  <si>
    <t>난곡재생활력소</t>
    <phoneticPr fontId="3" type="noConversion"/>
  </si>
  <si>
    <t>관악 청년청</t>
    <phoneticPr fontId="3" type="noConversion"/>
  </si>
  <si>
    <t>구립 다원어린이집</t>
    <phoneticPr fontId="3" type="noConversion"/>
  </si>
  <si>
    <t>구립 금강어린이집</t>
    <phoneticPr fontId="3" type="noConversion"/>
  </si>
  <si>
    <t>관악구 장애인센터</t>
    <phoneticPr fontId="3" type="noConversion"/>
  </si>
  <si>
    <t>까치산체육센터</t>
    <phoneticPr fontId="3" type="noConversion"/>
  </si>
  <si>
    <t>금천구 종합청사 4</t>
  </si>
  <si>
    <t>양성평등담당관</t>
    <phoneticPr fontId="3" type="noConversion"/>
  </si>
  <si>
    <t>첨단산업과</t>
    <phoneticPr fontId="3" type="noConversion"/>
  </si>
  <si>
    <t>서울바이오허브 글로벌센터</t>
    <phoneticPr fontId="3" type="noConversion"/>
  </si>
  <si>
    <t>남가좌제2동제1공영주차장</t>
    <phoneticPr fontId="3" type="noConversion"/>
  </si>
  <si>
    <t>청소년활동공간 홍은누리</t>
    <phoneticPr fontId="3" type="noConversion"/>
  </si>
  <si>
    <t>이진아기념도서관</t>
  </si>
  <si>
    <t>서대문구 독립문공원길 80</t>
    <phoneticPr fontId="3" type="noConversion"/>
  </si>
  <si>
    <t>가재울청소년센터</t>
    <phoneticPr fontId="3" type="noConversion"/>
  </si>
  <si>
    <t>서대문구 거북골로 103</t>
    <phoneticPr fontId="3" type="noConversion"/>
  </si>
  <si>
    <t>북가좌노인복지관(은가경로당)</t>
    <phoneticPr fontId="3" type="noConversion"/>
  </si>
  <si>
    <t>서대문구 증가로20길 43</t>
    <phoneticPr fontId="3" type="noConversion"/>
  </si>
  <si>
    <t>서대문구 환경교육센터
(두바퀴쉼터)</t>
  </si>
  <si>
    <t>서대문구 홍제천로 111</t>
    <phoneticPr fontId="3" type="noConversion"/>
  </si>
  <si>
    <t>서대문구청</t>
    <phoneticPr fontId="3" type="noConversion"/>
  </si>
  <si>
    <t>서대문구 연희로 248</t>
    <phoneticPr fontId="3" type="noConversion"/>
  </si>
  <si>
    <t>서대문문화체육회관2</t>
    <phoneticPr fontId="3" type="noConversion"/>
  </si>
  <si>
    <t>서대문문화체육회관1</t>
    <phoneticPr fontId="3" type="noConversion"/>
  </si>
  <si>
    <t>아동담당관</t>
    <phoneticPr fontId="3" type="noConversion"/>
  </si>
  <si>
    <t>강남세움센터</t>
    <phoneticPr fontId="3" type="noConversion"/>
  </si>
  <si>
    <t>자곡문화센터</t>
  </si>
  <si>
    <t>강남구 자곡로 100</t>
  </si>
  <si>
    <t>구립 해바라기어린이집</t>
    <phoneticPr fontId="3" type="noConversion"/>
  </si>
  <si>
    <t>구립 은행정어린이집</t>
  </si>
  <si>
    <t>구립 한아름어린이집</t>
    <phoneticPr fontId="3" type="noConversion"/>
  </si>
  <si>
    <t>구립 꿈나래어린이집</t>
    <phoneticPr fontId="3" type="noConversion"/>
  </si>
  <si>
    <t>구립 둥지어린이집</t>
    <phoneticPr fontId="3" type="noConversion"/>
  </si>
  <si>
    <t>구립 다솜어린이집</t>
    <phoneticPr fontId="3" type="noConversion"/>
  </si>
  <si>
    <t>구립 은혜어린이집</t>
    <phoneticPr fontId="3" type="noConversion"/>
  </si>
  <si>
    <t>양천공원 통합놀이터</t>
    <phoneticPr fontId="3" type="noConversion"/>
  </si>
  <si>
    <t>서울시 양천구 신정동 320</t>
    <phoneticPr fontId="3" type="noConversion"/>
  </si>
  <si>
    <t>묵2동문화체육복합센터</t>
  </si>
  <si>
    <t>중랑구 중랑역로 181</t>
  </si>
  <si>
    <t>강서 아트리움</t>
    <phoneticPr fontId="3" type="noConversion"/>
  </si>
  <si>
    <t>강서구 가로공원로 195</t>
    <phoneticPr fontId="3" type="noConversion"/>
  </si>
  <si>
    <t>방화 경로당</t>
    <phoneticPr fontId="3" type="noConversion"/>
  </si>
  <si>
    <t>강서구 개화동로 23길 26</t>
    <phoneticPr fontId="3" type="noConversion"/>
  </si>
  <si>
    <t>광진장애인보호작업장</t>
    <phoneticPr fontId="3" type="noConversion"/>
  </si>
  <si>
    <t>구룡경로당</t>
  </si>
  <si>
    <t>노인교실</t>
  </si>
  <si>
    <t>대명경로당</t>
  </si>
  <si>
    <t>박산경로당</t>
  </si>
  <si>
    <t>상록경로당</t>
  </si>
  <si>
    <t>우정경로당</t>
  </si>
  <si>
    <t>새재미경로당</t>
  </si>
  <si>
    <t>정심경로당</t>
  </si>
  <si>
    <t>정훈경로당</t>
  </si>
  <si>
    <t>탑동경로당</t>
  </si>
  <si>
    <t>창업정책과</t>
    <phoneticPr fontId="3" type="noConversion"/>
  </si>
  <si>
    <t>강북소방서</t>
    <phoneticPr fontId="3" type="noConversion"/>
  </si>
  <si>
    <t>구로119안전센터</t>
    <phoneticPr fontId="3" type="noConversion"/>
  </si>
  <si>
    <t>구로구 구로동로 175</t>
    <phoneticPr fontId="3" type="noConversion"/>
  </si>
  <si>
    <t>강북구 도봉로 125</t>
    <phoneticPr fontId="3" type="noConversion"/>
  </si>
  <si>
    <t>도봉구 해등로 25</t>
    <phoneticPr fontId="3" type="noConversion"/>
  </si>
  <si>
    <t>신림119안전센터</t>
    <phoneticPr fontId="3" type="noConversion"/>
  </si>
  <si>
    <t>성동구 살곶이길 331</t>
    <phoneticPr fontId="3" type="noConversion"/>
  </si>
  <si>
    <t>공단119안전센터</t>
    <phoneticPr fontId="3" type="noConversion"/>
  </si>
  <si>
    <t>세곡119안전센터</t>
    <phoneticPr fontId="3" type="noConversion"/>
  </si>
  <si>
    <t>강남구 밤고개로 268</t>
    <phoneticPr fontId="3" type="noConversion"/>
  </si>
  <si>
    <t>동작구 노량진로 187</t>
    <phoneticPr fontId="3" type="noConversion"/>
  </si>
  <si>
    <t>영등포구 도림로 212</t>
    <phoneticPr fontId="3" type="noConversion"/>
  </si>
  <si>
    <t>영등포구 의사당대로 162</t>
    <phoneticPr fontId="3" type="noConversion"/>
  </si>
  <si>
    <t>관악소방서 복지동</t>
    <phoneticPr fontId="3" type="noConversion"/>
  </si>
  <si>
    <t>관악구 관악로 97</t>
    <phoneticPr fontId="3" type="noConversion"/>
  </si>
  <si>
    <t>면목119안전센터</t>
    <phoneticPr fontId="3" type="noConversion"/>
  </si>
  <si>
    <t xml:space="preserve"> 성동구 난계로 19</t>
    <phoneticPr fontId="3" type="noConversion"/>
  </si>
  <si>
    <t>구로구 경인로59길 57</t>
    <phoneticPr fontId="3" type="noConversion"/>
  </si>
  <si>
    <t>노원구 화랑로 482</t>
    <phoneticPr fontId="3" type="noConversion"/>
  </si>
  <si>
    <t>강서구 강서로 329</t>
    <phoneticPr fontId="3" type="noConversion"/>
  </si>
  <si>
    <t>서초구 효령로 400</t>
    <phoneticPr fontId="3" type="noConversion"/>
  </si>
  <si>
    <t>노원구 동일로 1694</t>
    <phoneticPr fontId="3" type="noConversion"/>
  </si>
  <si>
    <t>용산구 한강대로 167</t>
    <phoneticPr fontId="3" type="noConversion"/>
  </si>
  <si>
    <t>서울시 동대문구 황물로 3</t>
    <phoneticPr fontId="3" type="noConversion"/>
  </si>
  <si>
    <t>은평구 갈현로 80</t>
    <phoneticPr fontId="3" type="noConversion"/>
  </si>
  <si>
    <t>강서구 마곡서로9</t>
    <phoneticPr fontId="3" type="noConversion"/>
  </si>
  <si>
    <t>금천구 시흥대로 342</t>
    <phoneticPr fontId="3" type="noConversion"/>
  </si>
  <si>
    <t>중화119안전센터</t>
    <phoneticPr fontId="3" type="noConversion"/>
  </si>
  <si>
    <t>중랑구 동일로 787</t>
    <phoneticPr fontId="3" type="noConversion"/>
  </si>
  <si>
    <t>광진소방서</t>
    <phoneticPr fontId="3" type="noConversion"/>
  </si>
  <si>
    <t>광진구 광나루로 480</t>
    <phoneticPr fontId="3" type="noConversion"/>
  </si>
  <si>
    <t>능동119안전센터</t>
    <phoneticPr fontId="3" type="noConversion"/>
  </si>
  <si>
    <t>광진구 능동로 242</t>
    <phoneticPr fontId="3" type="noConversion"/>
  </si>
  <si>
    <t>화곡119안전센터</t>
    <phoneticPr fontId="3" type="noConversion"/>
  </si>
  <si>
    <t>강서구 까치산로 49</t>
    <phoneticPr fontId="3" type="noConversion"/>
  </si>
  <si>
    <t>창업정책과</t>
  </si>
  <si>
    <t>서부공원여가센터</t>
    <phoneticPr fontId="3" type="noConversion"/>
  </si>
  <si>
    <t>동부공원여가센터</t>
    <phoneticPr fontId="3" type="noConversion"/>
  </si>
  <si>
    <t>치수안전과</t>
    <phoneticPr fontId="3" type="noConversion"/>
  </si>
  <si>
    <t>미래한강본부</t>
    <phoneticPr fontId="3" type="noConversion"/>
  </si>
  <si>
    <t>재산관리과</t>
    <phoneticPr fontId="3" type="noConversion"/>
  </si>
  <si>
    <t>중랑구</t>
    <phoneticPr fontId="3" type="noConversion"/>
  </si>
  <si>
    <t>서울 서대문구 세검정로 168(홍제동)</t>
    <phoneticPr fontId="3" type="noConversion"/>
  </si>
  <si>
    <t>금천구 독산동 산118-4</t>
    <phoneticPr fontId="3" type="noConversion"/>
  </si>
  <si>
    <t>동작구 상도3동 274-19</t>
    <phoneticPr fontId="3" type="noConversion"/>
  </si>
  <si>
    <t>홍은119안전센터 건물 외벽</t>
    <phoneticPr fontId="3" type="noConversion"/>
  </si>
  <si>
    <t>서대문구 홍은중앙로 83</t>
    <phoneticPr fontId="3" type="noConversion"/>
  </si>
  <si>
    <t>서울 AI 허브</t>
    <phoneticPr fontId="3" type="noConversion"/>
  </si>
  <si>
    <t>서울시 서초구 태봉로 108 (서울 AI 허브)</t>
    <phoneticPr fontId="3" type="noConversion"/>
  </si>
  <si>
    <t>난곡스마트공영주차장</t>
    <phoneticPr fontId="3" type="noConversion"/>
  </si>
  <si>
    <t>노인회관50플러스센터</t>
    <phoneticPr fontId="3" type="noConversion"/>
  </si>
  <si>
    <t>서울시농수산식품공사(3)</t>
    <phoneticPr fontId="3" type="noConversion"/>
  </si>
  <si>
    <t>송파구 석촌호수로 155</t>
    <phoneticPr fontId="3" type="noConversion"/>
  </si>
  <si>
    <t>삼전동 공영주차장</t>
    <phoneticPr fontId="3" type="noConversion"/>
  </si>
  <si>
    <t>송파여성축구장</t>
    <phoneticPr fontId="3" type="noConversion"/>
  </si>
  <si>
    <t>성내천 태양광 스마트 쉼터</t>
    <phoneticPr fontId="3" type="noConversion"/>
  </si>
  <si>
    <t>노동정책과</t>
    <phoneticPr fontId="3" type="noConversion"/>
  </si>
  <si>
    <t>글로벌마케팅센터</t>
    <phoneticPr fontId="3" type="noConversion"/>
  </si>
  <si>
    <t>공릉보건지소</t>
    <phoneticPr fontId="3" type="noConversion"/>
  </si>
  <si>
    <t>노원구 공릉로 166-1</t>
    <phoneticPr fontId="3" type="noConversion"/>
  </si>
  <si>
    <t>리앤업사이클플라자</t>
    <phoneticPr fontId="3" type="noConversion"/>
  </si>
  <si>
    <t>서울 강동구 동남로 960(고덕동)</t>
    <phoneticPr fontId="3" type="noConversion"/>
  </si>
  <si>
    <t>곰달래경로당</t>
    <phoneticPr fontId="3" type="noConversion"/>
  </si>
  <si>
    <t>강서구 월정로20길 38</t>
    <phoneticPr fontId="3" type="noConversion"/>
  </si>
  <si>
    <t>봉바위경로당</t>
    <phoneticPr fontId="3" type="noConversion"/>
  </si>
  <si>
    <t>강서구 강서로34길 34</t>
    <phoneticPr fontId="3" type="noConversion"/>
  </si>
  <si>
    <t>도봉2동 희망플랫폼</t>
    <phoneticPr fontId="10" type="noConversion"/>
  </si>
  <si>
    <t>무수골 녹색복지센터</t>
    <phoneticPr fontId="10" type="noConversion"/>
  </si>
  <si>
    <t>쌍문동 체육센터</t>
    <phoneticPr fontId="10" type="noConversion"/>
  </si>
  <si>
    <t>쌍문1동 구립경로당</t>
    <phoneticPr fontId="10" type="noConversion"/>
  </si>
  <si>
    <t>창동어르신복지관</t>
    <phoneticPr fontId="10" type="noConversion"/>
  </si>
  <si>
    <t>영등포구 당산로41가길 7</t>
    <phoneticPr fontId="3" type="noConversion"/>
  </si>
  <si>
    <t>영등포구</t>
    <phoneticPr fontId="3" type="noConversion"/>
  </si>
  <si>
    <t>영등포동 공공복합센터</t>
    <phoneticPr fontId="3" type="noConversion"/>
  </si>
  <si>
    <t>영등포구 양산로 232</t>
    <phoneticPr fontId="3" type="noConversion"/>
  </si>
  <si>
    <t>동심경로당</t>
    <phoneticPr fontId="3" type="noConversion"/>
  </si>
  <si>
    <t>영등포구 대림로35길 7</t>
    <phoneticPr fontId="3" type="noConversion"/>
  </si>
  <si>
    <t>신우경로당</t>
    <phoneticPr fontId="3" type="noConversion"/>
  </si>
  <si>
    <t>가마산로47길 13</t>
    <phoneticPr fontId="3" type="noConversion"/>
  </si>
  <si>
    <t>동작구 여의대방로20나길 16</t>
    <phoneticPr fontId="3" type="noConversion"/>
  </si>
  <si>
    <t>창이어린이집</t>
  </si>
  <si>
    <t>종로구 낙산성곽동길 69</t>
    <phoneticPr fontId="3" type="noConversion"/>
  </si>
  <si>
    <t>수유보건지소</t>
  </si>
  <si>
    <t>강북구 삼양로 335-1</t>
  </si>
  <si>
    <t>우정경로당(어르신복지과)</t>
    <phoneticPr fontId="3" type="noConversion"/>
  </si>
  <si>
    <t>서대문구 홍은중앙로 164</t>
    <phoneticPr fontId="3" type="noConversion"/>
  </si>
  <si>
    <t>서대문구 공공산후조리원 품애가득</t>
    <phoneticPr fontId="3" type="noConversion"/>
  </si>
  <si>
    <t>서대문구 증가로30길 45</t>
    <phoneticPr fontId="3" type="noConversion"/>
  </si>
  <si>
    <t>꿈나무마을 파란꿈터</t>
    <phoneticPr fontId="3" type="noConversion"/>
  </si>
  <si>
    <t>걷고싶은 에너지거리</t>
    <phoneticPr fontId="3" type="noConversion"/>
  </si>
  <si>
    <t>노량진 근린공원 등 공원시설 3개소(노들나루공원)</t>
    <phoneticPr fontId="3" type="noConversion"/>
  </si>
  <si>
    <t>동작구 노량진로 247</t>
    <phoneticPr fontId="3" type="noConversion"/>
  </si>
  <si>
    <t>노량진 근린공원 등 공원시설 3개소(사당역10번출구)</t>
    <phoneticPr fontId="3" type="noConversion"/>
  </si>
  <si>
    <t>동작구 사당동 1112</t>
    <phoneticPr fontId="3" type="noConversion"/>
  </si>
  <si>
    <t>노량진 근린공원 등 공원시설 3개소(노량진 근린공원)</t>
    <phoneticPr fontId="3" type="noConversion"/>
  </si>
  <si>
    <t>동작구 대방동 15-45</t>
    <phoneticPr fontId="3" type="noConversion"/>
  </si>
  <si>
    <t>서울가족플라자</t>
    <phoneticPr fontId="3" type="noConversion"/>
  </si>
  <si>
    <t>동작구 노량진로 10</t>
    <phoneticPr fontId="3" type="noConversion"/>
  </si>
  <si>
    <t>방배숲환경도서관</t>
    <phoneticPr fontId="3" type="noConversion"/>
  </si>
  <si>
    <t>서초구 서초대로 160-7</t>
    <phoneticPr fontId="3" type="noConversion"/>
  </si>
  <si>
    <t>반포2동 열린문화센터</t>
    <phoneticPr fontId="3" type="noConversion"/>
  </si>
  <si>
    <t>서초구 신반포로 127</t>
    <phoneticPr fontId="3" type="noConversion"/>
  </si>
  <si>
    <t>서울시 광진구 아차산로 710</t>
    <phoneticPr fontId="3" type="noConversion"/>
  </si>
  <si>
    <t>군자동주민센터</t>
    <phoneticPr fontId="3" type="noConversion"/>
  </si>
  <si>
    <t>서대문구 세검정로1길 45</t>
    <phoneticPr fontId="3" type="noConversion"/>
  </si>
  <si>
    <t>양천구 안양천로 1139</t>
  </si>
  <si>
    <t>양천구 남부순환로 448</t>
  </si>
  <si>
    <t>신트리119안전센터</t>
  </si>
  <si>
    <t>양천구 신정로 238</t>
  </si>
  <si>
    <t>도봉구 도봉2동 624-26번지</t>
    <phoneticPr fontId="10" type="noConversion"/>
  </si>
  <si>
    <t>도봉구 도봉동 467-3번지</t>
    <phoneticPr fontId="10" type="noConversion"/>
  </si>
  <si>
    <t>도봉구 쌍문동 265번지</t>
    <phoneticPr fontId="10" type="noConversion"/>
  </si>
  <si>
    <t>도봉구 쌍문동 448-3번지</t>
    <phoneticPr fontId="10" type="noConversion"/>
  </si>
  <si>
    <t>도봉구 덕릉로 64차길 8</t>
    <phoneticPr fontId="3" type="noConversion"/>
  </si>
  <si>
    <t>방정환교육지원센터</t>
    <phoneticPr fontId="3" type="noConversion"/>
  </si>
  <si>
    <t>중랑구 망우로 325</t>
    <phoneticPr fontId="3" type="noConversion"/>
  </si>
  <si>
    <t>면목7동 복합청사</t>
    <phoneticPr fontId="3" type="noConversion"/>
  </si>
  <si>
    <t>중랑구 면목로36길 4</t>
    <phoneticPr fontId="3" type="noConversion"/>
  </si>
  <si>
    <t>금천에코에너지센터</t>
    <phoneticPr fontId="3" type="noConversion"/>
  </si>
  <si>
    <t>금천청년꿈터</t>
    <phoneticPr fontId="3" type="noConversion"/>
  </si>
  <si>
    <t>금천평생학습관</t>
    <phoneticPr fontId="3" type="noConversion"/>
  </si>
  <si>
    <t>금천구 공동체 경제통합지원센터</t>
    <phoneticPr fontId="3" type="noConversion"/>
  </si>
  <si>
    <t>금천구 청소년상담복지센터</t>
    <phoneticPr fontId="3" type="noConversion"/>
  </si>
  <si>
    <t>신흥경로당 새재미마을에너지사랑방</t>
    <phoneticPr fontId="3" type="noConversion"/>
  </si>
  <si>
    <t>일자리정책과</t>
    <phoneticPr fontId="3" type="noConversion"/>
  </si>
  <si>
    <t>강동구 고덕로 183</t>
    <phoneticPr fontId="3" type="noConversion"/>
  </si>
  <si>
    <t>빗물펌프장(망원1)</t>
    <phoneticPr fontId="3" type="noConversion"/>
  </si>
  <si>
    <t>마포구 월드컵로 215</t>
    <phoneticPr fontId="3" type="noConversion"/>
  </si>
  <si>
    <t>시흥청사</t>
    <phoneticPr fontId="3" type="noConversion"/>
  </si>
  <si>
    <t>난지미술창작스튜디오</t>
    <phoneticPr fontId="3" type="noConversion"/>
  </si>
  <si>
    <t>북서울미술관</t>
    <phoneticPr fontId="3" type="noConversion"/>
  </si>
  <si>
    <t>서남물재생센터 물재생체험관 주차장</t>
    <phoneticPr fontId="3" type="noConversion"/>
  </si>
  <si>
    <t>서울시민대학 다시가는 캠퍼스</t>
  </si>
  <si>
    <t>서초구립노인요양센터</t>
    <phoneticPr fontId="3" type="noConversion"/>
  </si>
  <si>
    <t>동산마을경로당(동산어린이공원)</t>
    <phoneticPr fontId="3" type="noConversion"/>
  </si>
  <si>
    <t>신길책마루문화센터</t>
    <phoneticPr fontId="3" type="noConversion"/>
  </si>
  <si>
    <t>영등포구 신길로 131</t>
    <phoneticPr fontId="3" type="noConversion"/>
  </si>
  <si>
    <t>가락119안전센터 및 강남농수산물검사소</t>
    <phoneticPr fontId="3" type="noConversion"/>
  </si>
  <si>
    <t>구의2동주민센터</t>
    <phoneticPr fontId="3" type="noConversion"/>
  </si>
  <si>
    <t>광진구 천호대로136길 55(구의동)</t>
    <phoneticPr fontId="3" type="noConversion"/>
  </si>
  <si>
    <t>광진구청</t>
    <phoneticPr fontId="3" type="noConversion"/>
  </si>
  <si>
    <t>광진구 아차산로 400(자양동)</t>
    <phoneticPr fontId="3" type="noConversion"/>
  </si>
  <si>
    <t>용마경로당</t>
    <phoneticPr fontId="3" type="noConversion"/>
  </si>
  <si>
    <t>광진구 용마산로31길 38-8(중곡동)</t>
    <phoneticPr fontId="3" type="noConversion"/>
  </si>
  <si>
    <t>양마경로당</t>
    <phoneticPr fontId="3" type="noConversion"/>
  </si>
  <si>
    <t>광진구 동일로42길 2(군자동)</t>
    <phoneticPr fontId="3" type="noConversion"/>
  </si>
  <si>
    <t>자양4동제2경로당</t>
    <phoneticPr fontId="3" type="noConversion"/>
  </si>
  <si>
    <t>광진구 동일로2길 17(자양동)</t>
    <phoneticPr fontId="3" type="noConversion"/>
  </si>
  <si>
    <t>자양문화체육센터</t>
    <phoneticPr fontId="3" type="noConversion"/>
  </si>
  <si>
    <t>광진구 뚝섬로52길 66(자양동 )</t>
    <phoneticPr fontId="3" type="noConversion"/>
  </si>
  <si>
    <t xml:space="preserve"> 패션봉제복합지원센터</t>
  </si>
  <si>
    <t>공공의료과</t>
    <phoneticPr fontId="3" type="noConversion"/>
  </si>
  <si>
    <t>서울특별시 서남병원</t>
    <phoneticPr fontId="3" type="noConversion"/>
  </si>
  <si>
    <t>중랑구 신내로 156</t>
    <phoneticPr fontId="3" type="noConversion"/>
  </si>
  <si>
    <t>서울의료원 방사선종양학과 증축</t>
    <phoneticPr fontId="3" type="noConversion"/>
  </si>
  <si>
    <t>서올시립과학관</t>
    <phoneticPr fontId="3" type="noConversion"/>
  </si>
  <si>
    <t>서울로봇인공지능과학관</t>
    <phoneticPr fontId="3" type="noConversion"/>
  </si>
  <si>
    <t>도봉구 마들로13길 56</t>
    <phoneticPr fontId="3" type="noConversion"/>
  </si>
  <si>
    <t>강남구 광평로60길 22 (수서동)</t>
    <phoneticPr fontId="3" type="noConversion"/>
  </si>
  <si>
    <t>강남구 세곡동 521-1</t>
    <phoneticPr fontId="3" type="noConversion"/>
  </si>
  <si>
    <t>생활SOC 금천구 가족센터</t>
    <phoneticPr fontId="3" type="noConversion"/>
  </si>
  <si>
    <t>독산동 우시장 그린푸줏간</t>
    <phoneticPr fontId="3" type="noConversion"/>
  </si>
  <si>
    <t>금천구 시흥동 948-14</t>
    <phoneticPr fontId="3" type="noConversion"/>
  </si>
  <si>
    <t>금천구 시흥동 시흥대로51길 93</t>
    <phoneticPr fontId="3" type="noConversion"/>
  </si>
  <si>
    <t>금천구 시흥동 818-28</t>
    <phoneticPr fontId="3" type="noConversion"/>
  </si>
  <si>
    <t>금천구 독산동 1118-8</t>
    <phoneticPr fontId="3" type="noConversion"/>
  </si>
  <si>
    <t>금천구 금하로 1가길 10</t>
    <phoneticPr fontId="3" type="noConversion"/>
  </si>
  <si>
    <t>금천구 독산동 1148</t>
    <phoneticPr fontId="3" type="noConversion"/>
  </si>
  <si>
    <t>금천구 시흥동 886-13</t>
    <phoneticPr fontId="3" type="noConversion"/>
  </si>
  <si>
    <t>금천구 시흥동 113-142</t>
    <phoneticPr fontId="3" type="noConversion"/>
  </si>
  <si>
    <t>금천구 금하로11길 40</t>
    <phoneticPr fontId="3" type="noConversion"/>
  </si>
  <si>
    <t>금천구 시흥대로37길 18</t>
    <phoneticPr fontId="3" type="noConversion"/>
  </si>
  <si>
    <t>금천구 시흥대로141길 61-1</t>
    <phoneticPr fontId="3" type="noConversion"/>
  </si>
  <si>
    <t>금천구 가산로 129</t>
    <phoneticPr fontId="3" type="noConversion"/>
  </si>
  <si>
    <t>금천구 은행나무로 45</t>
    <phoneticPr fontId="3" type="noConversion"/>
  </si>
  <si>
    <t>금천구 시흥대로34길 9</t>
    <phoneticPr fontId="3" type="noConversion"/>
  </si>
  <si>
    <t>금천구 시흥대로68길 89</t>
    <phoneticPr fontId="3" type="noConversion"/>
  </si>
  <si>
    <t>금천구 남부순환로122길 5</t>
    <phoneticPr fontId="3" type="noConversion"/>
  </si>
  <si>
    <t>금천구 금하로23다길 8</t>
    <phoneticPr fontId="3" type="noConversion"/>
  </si>
  <si>
    <t>금천구 독산로11길 4</t>
    <phoneticPr fontId="3" type="noConversion"/>
  </si>
  <si>
    <t>금천구 시흥대로2길 60</t>
    <phoneticPr fontId="3" type="noConversion"/>
  </si>
  <si>
    <t>금천구 벚꽃로38길 35</t>
    <phoneticPr fontId="3" type="noConversion"/>
  </si>
  <si>
    <t>금천구 두산로3길 49</t>
    <phoneticPr fontId="3" type="noConversion"/>
  </si>
  <si>
    <t>금천구 독산로50길 57-1</t>
    <phoneticPr fontId="3" type="noConversion"/>
  </si>
  <si>
    <t>금천구 독산로39길 16</t>
    <phoneticPr fontId="3" type="noConversion"/>
  </si>
  <si>
    <t>금천구 독산로75길 12-7</t>
    <phoneticPr fontId="3" type="noConversion"/>
  </si>
  <si>
    <t>금천구 독산로64길 79</t>
    <phoneticPr fontId="3" type="noConversion"/>
  </si>
  <si>
    <t>금천구 금하로23가길 14-1</t>
    <phoneticPr fontId="3" type="noConversion"/>
  </si>
  <si>
    <t>금천구 금하로1다길 12</t>
    <phoneticPr fontId="3" type="noConversion"/>
  </si>
  <si>
    <t>금천구 범안로15길 22-5</t>
    <phoneticPr fontId="3" type="noConversion"/>
  </si>
  <si>
    <t>금천구 범안로 1240-7</t>
    <phoneticPr fontId="3" type="noConversion"/>
  </si>
  <si>
    <t>금천구 시흥대로 467</t>
    <phoneticPr fontId="3" type="noConversion"/>
  </si>
  <si>
    <t>금천구 독산동 293-17</t>
    <phoneticPr fontId="3" type="noConversion"/>
  </si>
  <si>
    <t>금천구 시흥대로 73길 70</t>
    <phoneticPr fontId="3" type="noConversion"/>
  </si>
  <si>
    <t>상도4동도시재생주민공동이용시설(앵커시설)</t>
    <phoneticPr fontId="3" type="noConversion"/>
  </si>
  <si>
    <t>성동구 자동차시장길 41</t>
    <phoneticPr fontId="3" type="noConversion"/>
  </si>
  <si>
    <t>돈암1동 주민센터</t>
    <phoneticPr fontId="3" type="noConversion"/>
  </si>
  <si>
    <t>성북구 돈암동 1-1</t>
    <phoneticPr fontId="3" type="noConversion"/>
  </si>
  <si>
    <t xml:space="preserve">리앤업사이클플라자 </t>
    <phoneticPr fontId="3" type="noConversion"/>
  </si>
  <si>
    <t>상월곡동 97-21 외 2필지</t>
    <phoneticPr fontId="3" type="noConversion"/>
  </si>
  <si>
    <t>삼선동 아동청소년 전용도서관</t>
    <phoneticPr fontId="3" type="noConversion"/>
  </si>
  <si>
    <t>성북구 삼선동2가 231-4</t>
    <phoneticPr fontId="3" type="noConversion"/>
  </si>
  <si>
    <t>성북구 장위동 238-186 장위동 청소년 문화공간(성북구 장월로 89-6)</t>
    <phoneticPr fontId="3" type="noConversion"/>
  </si>
  <si>
    <t>성북구 정릉동 16-1822층(정릉1동 커뮤니티센터)</t>
    <phoneticPr fontId="3" type="noConversion"/>
  </si>
  <si>
    <t>성북구 길음로7길 20 (길음동)</t>
    <phoneticPr fontId="3" type="noConversion"/>
  </si>
  <si>
    <t>성북구 보국문로11길 18-19</t>
    <phoneticPr fontId="3" type="noConversion"/>
  </si>
  <si>
    <t>성북구 정릉로23길 56</t>
    <phoneticPr fontId="3" type="noConversion"/>
  </si>
  <si>
    <t>성북구 한천로66길 203(석관미리내도서관, 석관동빗물펌프장)</t>
    <phoneticPr fontId="3" type="noConversion"/>
  </si>
  <si>
    <t>도봉통합복지센터</t>
  </si>
  <si>
    <t>도봉구 마들로 536(창동 1-1)</t>
    <phoneticPr fontId="3" type="noConversion"/>
  </si>
  <si>
    <t>도봉구 노해로44길 9 (쌍문동)</t>
    <phoneticPr fontId="3" type="noConversion"/>
  </si>
  <si>
    <t>도봉구 우이천로 340 (쌍문동)</t>
    <phoneticPr fontId="3" type="noConversion"/>
  </si>
  <si>
    <t>도봉구 도봉로136나길 20</t>
    <phoneticPr fontId="3" type="noConversion"/>
  </si>
  <si>
    <t>도봉구 도봉동 8</t>
    <phoneticPr fontId="3" type="noConversion"/>
  </si>
  <si>
    <t>도봉구 방학2동 396-19</t>
    <phoneticPr fontId="3" type="noConversion"/>
  </si>
  <si>
    <t>도봉구 창동 451-14 초헌약수경로당</t>
    <phoneticPr fontId="3" type="noConversion"/>
  </si>
  <si>
    <t>도봉구 창동 582-47신창시장 고객지원센터</t>
    <phoneticPr fontId="3" type="noConversion"/>
  </si>
  <si>
    <t>도봉구 창동 677</t>
    <phoneticPr fontId="3" type="noConversion"/>
  </si>
  <si>
    <t>도봉구 시루봉로 2길 34</t>
    <phoneticPr fontId="10" type="noConversion"/>
  </si>
  <si>
    <t>도봉구 도봉동 279번지</t>
    <phoneticPr fontId="10" type="noConversion"/>
  </si>
  <si>
    <t>도봉구 도당로 13라길 104</t>
    <phoneticPr fontId="10" type="noConversion"/>
  </si>
  <si>
    <t>도봉구 도봉로 150마길 37</t>
    <phoneticPr fontId="10" type="noConversion"/>
  </si>
  <si>
    <t>도봉구 도봉로 180나길 33-61</t>
    <phoneticPr fontId="10" type="noConversion"/>
  </si>
  <si>
    <t>도봉구 마들로 805</t>
    <phoneticPr fontId="3" type="noConversion"/>
  </si>
  <si>
    <t>도봉구 창동 347-5번지</t>
    <phoneticPr fontId="3" type="noConversion"/>
  </si>
  <si>
    <t>도봉구 마들로 656</t>
    <phoneticPr fontId="3" type="noConversion"/>
  </si>
  <si>
    <t>도봉구 시로봉로 23가길 17</t>
    <phoneticPr fontId="3" type="noConversion"/>
  </si>
  <si>
    <t>도봉구 창3동 467-1번지</t>
    <phoneticPr fontId="3" type="noConversion"/>
  </si>
  <si>
    <t>도봉구 도봉로 137길 21</t>
    <phoneticPr fontId="3" type="noConversion"/>
  </si>
  <si>
    <t>강북구 덕릉로42길 49 (번동)</t>
    <phoneticPr fontId="3" type="noConversion"/>
  </si>
  <si>
    <t>강북구 우이동 209-8 우이동 먹거리마을 입구</t>
    <phoneticPr fontId="3" type="noConversion"/>
  </si>
  <si>
    <t>강북구 번동 148-118 오현숲마을 마을활력소</t>
    <phoneticPr fontId="3" type="noConversion"/>
  </si>
  <si>
    <t>강북구 수유동 360-10</t>
    <phoneticPr fontId="3" type="noConversion"/>
  </si>
  <si>
    <t>활성탄 흡착지 1,2계열</t>
    <phoneticPr fontId="3" type="noConversion"/>
  </si>
  <si>
    <t>송정공공복합청사</t>
    <phoneticPr fontId="3" type="noConversion"/>
  </si>
  <si>
    <t>성동구립용답도서관(신규)</t>
    <phoneticPr fontId="3" type="noConversion"/>
  </si>
  <si>
    <t>구두테마공원(성수근린공원)</t>
  </si>
  <si>
    <t>도선경로당(성동구 건강가정지원센터)</t>
  </si>
  <si>
    <t>맑은샘 어린이집</t>
    <phoneticPr fontId="3" type="noConversion"/>
  </si>
  <si>
    <t>사근스마트헬쓰케어센터</t>
  </si>
  <si>
    <t>광진구 능동로43길 27-14(중곡동)</t>
    <phoneticPr fontId="3" type="noConversion"/>
  </si>
  <si>
    <t>광진구 자양로13다길 31(자양동)</t>
    <phoneticPr fontId="3" type="noConversion"/>
  </si>
  <si>
    <t>광진구 용마산로3길 62(중곡동)</t>
    <phoneticPr fontId="3" type="noConversion"/>
  </si>
  <si>
    <t>광진구 긴고랑로8길 51(중곡동)</t>
    <phoneticPr fontId="3" type="noConversion"/>
  </si>
  <si>
    <t>중곡문화체육센터</t>
    <phoneticPr fontId="3" type="noConversion"/>
  </si>
  <si>
    <t>광진구 능동로 433(중곡동)</t>
    <phoneticPr fontId="3" type="noConversion"/>
  </si>
  <si>
    <t>광진구 뚝섬로26길 58(중곡동)</t>
    <phoneticPr fontId="3" type="noConversion"/>
  </si>
  <si>
    <t>광진구 천호대로112길 70(능동)</t>
    <phoneticPr fontId="3" type="noConversion"/>
  </si>
  <si>
    <t>광진구 뚝섬로52길 74(자양동)</t>
    <phoneticPr fontId="3" type="noConversion"/>
  </si>
  <si>
    <t>광진구 긴고랑로 131(중곡동)</t>
    <phoneticPr fontId="3" type="noConversion"/>
  </si>
  <si>
    <t>광진구 능동로17길 39(화양동)</t>
    <phoneticPr fontId="3" type="noConversion"/>
  </si>
  <si>
    <t>광진구 답십리로78길 46-5(중곡동)</t>
    <phoneticPr fontId="3" type="noConversion"/>
  </si>
  <si>
    <t>구의3동주민센터</t>
    <phoneticPr fontId="3" type="noConversion"/>
  </si>
  <si>
    <t>광진구 강변역로 17(구의동)</t>
    <phoneticPr fontId="3" type="noConversion"/>
  </si>
  <si>
    <t>중곡종합건강센터</t>
    <phoneticPr fontId="3" type="noConversion"/>
  </si>
  <si>
    <t>광진구 긴고랑로 110(중곡동)</t>
    <phoneticPr fontId="3" type="noConversion"/>
  </si>
  <si>
    <t>광진구 아차산로78길 90(광장동)</t>
    <phoneticPr fontId="3" type="noConversion"/>
  </si>
  <si>
    <t>광진구 천호대로112길 56(능동)</t>
    <phoneticPr fontId="3" type="noConversion"/>
  </si>
  <si>
    <t>광진구 천호대로 788(광장동)</t>
    <phoneticPr fontId="3" type="noConversion"/>
  </si>
  <si>
    <t>광진구 아차산로24길 17(자양동)</t>
    <phoneticPr fontId="3" type="noConversion"/>
  </si>
  <si>
    <t>광진구 군자로 88(군자동)</t>
    <phoneticPr fontId="3" type="noConversion"/>
  </si>
  <si>
    <t>광진구 긴고랑로 213(중곡동)</t>
    <phoneticPr fontId="3" type="noConversion"/>
  </si>
  <si>
    <t>광진구 광나루로36길 56(구의동)</t>
    <phoneticPr fontId="3" type="noConversion"/>
  </si>
  <si>
    <t>구의공원 힐링쉼터</t>
    <phoneticPr fontId="3" type="noConversion"/>
  </si>
  <si>
    <t>광진구 광나루로56길 86(구의동)</t>
    <phoneticPr fontId="3" type="noConversion"/>
  </si>
  <si>
    <t>광진구 자양번영로 35(자양동)</t>
    <phoneticPr fontId="3" type="noConversion"/>
  </si>
  <si>
    <t>광진구 아차산로 630(광장동)</t>
    <phoneticPr fontId="3" type="noConversion"/>
  </si>
  <si>
    <t>광진구 뚝섬로 568(자양동)</t>
    <phoneticPr fontId="3" type="noConversion"/>
  </si>
  <si>
    <t>광진구 아차산로78길 15(광장동)</t>
    <phoneticPr fontId="3" type="noConversion"/>
  </si>
  <si>
    <t>광진구 아차산로78길 67(광장동)</t>
    <phoneticPr fontId="3" type="noConversion"/>
  </si>
  <si>
    <t>광진구 면목로 13(군자동)</t>
    <phoneticPr fontId="3" type="noConversion"/>
  </si>
  <si>
    <t>관악더행복마루</t>
    <phoneticPr fontId="3" type="noConversion"/>
  </si>
  <si>
    <t>구립 장군봉어린이집</t>
    <phoneticPr fontId="3" type="noConversion"/>
  </si>
  <si>
    <t>관악구 신림동 산197-3</t>
    <phoneticPr fontId="3" type="noConversion"/>
  </si>
  <si>
    <t>관악구 관악로 145</t>
    <phoneticPr fontId="3" type="noConversion"/>
  </si>
  <si>
    <t>관악구 관천로 98 (신림동)</t>
    <phoneticPr fontId="3" type="noConversion"/>
  </si>
  <si>
    <t>관악구 남부순환로 1491 (신림동)</t>
    <phoneticPr fontId="3" type="noConversion"/>
  </si>
  <si>
    <t>관악구 조원중앙로2길 19 (신림동)</t>
    <phoneticPr fontId="3" type="noConversion"/>
  </si>
  <si>
    <t>관악구 대학12길 16 (신림동)</t>
    <phoneticPr fontId="3" type="noConversion"/>
  </si>
  <si>
    <t>관악구 난우16길 37 (신림동)</t>
    <phoneticPr fontId="3" type="noConversion"/>
  </si>
  <si>
    <t>관악구 신사로 46 (신림동)</t>
    <phoneticPr fontId="3" type="noConversion"/>
  </si>
  <si>
    <t>관악구 조원로 142</t>
    <phoneticPr fontId="3" type="noConversion"/>
  </si>
  <si>
    <t>관악구 난곡로24가길 53</t>
    <phoneticPr fontId="3" type="noConversion"/>
  </si>
  <si>
    <t>관악구 남부순환로 1759</t>
    <phoneticPr fontId="3" type="noConversion"/>
  </si>
  <si>
    <t>관악구 미성길 127</t>
    <phoneticPr fontId="3" type="noConversion"/>
  </si>
  <si>
    <t>관악구 신림로48길 25</t>
    <phoneticPr fontId="3" type="noConversion"/>
  </si>
  <si>
    <t>관악구 쑥고개로 128</t>
    <phoneticPr fontId="3" type="noConversion"/>
  </si>
  <si>
    <t>관악구 행운10길 23</t>
    <phoneticPr fontId="3" type="noConversion"/>
  </si>
  <si>
    <t>관악구 난곡로26길 94</t>
    <phoneticPr fontId="3" type="noConversion"/>
  </si>
  <si>
    <t>관악구 관악로5길 95</t>
    <phoneticPr fontId="3" type="noConversion"/>
  </si>
  <si>
    <t>관악구 구암5길 28</t>
    <phoneticPr fontId="3" type="noConversion"/>
  </si>
  <si>
    <t>관악구 장군봉길 100</t>
    <phoneticPr fontId="3" type="noConversion"/>
  </si>
  <si>
    <t>마곡안전체험관</t>
    <phoneticPr fontId="3" type="noConversion"/>
  </si>
  <si>
    <t>내발산 복합복지센터</t>
    <phoneticPr fontId="3" type="noConversion"/>
  </si>
  <si>
    <t>강서구 우장산로 114(화곡동 1103-6)</t>
    <phoneticPr fontId="3" type="noConversion"/>
  </si>
  <si>
    <t>강서구 곰달래로57가길 26</t>
    <phoneticPr fontId="3" type="noConversion"/>
  </si>
  <si>
    <t>강서구 마곡동 88번지 일원(서남물재생센터 내)</t>
    <phoneticPr fontId="3" type="noConversion"/>
  </si>
  <si>
    <t>강서구 마곡중앙로 13</t>
    <phoneticPr fontId="3" type="noConversion"/>
  </si>
  <si>
    <t>강서구 우장산로 24-5</t>
    <phoneticPr fontId="3" type="noConversion"/>
  </si>
  <si>
    <t>보훈회관</t>
    <phoneticPr fontId="3" type="noConversion"/>
  </si>
  <si>
    <t>서대문구 증가로 41</t>
    <phoneticPr fontId="3" type="noConversion"/>
  </si>
  <si>
    <t>느티나무경로당</t>
    <phoneticPr fontId="3" type="noConversion"/>
  </si>
  <si>
    <t>서대문구 통일로36다길 2</t>
    <phoneticPr fontId="3" type="noConversion"/>
  </si>
  <si>
    <t>논골문화원</t>
    <phoneticPr fontId="3" type="noConversion"/>
  </si>
  <si>
    <t>서대문구 연희로 41나길 1</t>
    <phoneticPr fontId="3" type="noConversion"/>
  </si>
  <si>
    <t>리앤업사이클플라자(되살림센터)</t>
    <phoneticPr fontId="3" type="noConversion"/>
  </si>
  <si>
    <t>서대문구 모래내로 369</t>
    <phoneticPr fontId="3" type="noConversion"/>
  </si>
  <si>
    <t>북가좌2동 복합청사</t>
    <phoneticPr fontId="3" type="noConversion"/>
  </si>
  <si>
    <t>서대문구 응암로 131</t>
    <phoneticPr fontId="3" type="noConversion"/>
  </si>
  <si>
    <t>서대문 뇌병변장애인비전센터</t>
    <phoneticPr fontId="3" type="noConversion"/>
  </si>
  <si>
    <t>서대문구 가좌로 75</t>
    <phoneticPr fontId="3" type="noConversion"/>
  </si>
  <si>
    <t>서대문 중앙근린공원</t>
    <phoneticPr fontId="3" type="noConversion"/>
  </si>
  <si>
    <t>서대문구 북가좌동 106-7</t>
    <phoneticPr fontId="3" type="noConversion"/>
  </si>
  <si>
    <t>서대문구 연희로11마길 86-47 (연희동)</t>
    <phoneticPr fontId="3" type="noConversion"/>
  </si>
  <si>
    <t>서대문구 북아현동 1012-2</t>
    <phoneticPr fontId="3" type="noConversion"/>
  </si>
  <si>
    <t>서대문구 연희로36길 49</t>
    <phoneticPr fontId="3" type="noConversion"/>
  </si>
  <si>
    <t>서대문구 명지대5길 10-8</t>
    <phoneticPr fontId="3" type="noConversion"/>
  </si>
  <si>
    <t>서대문구 성산로24길 1-20</t>
    <phoneticPr fontId="3" type="noConversion"/>
  </si>
  <si>
    <t>서대문구 명지대길 50</t>
    <phoneticPr fontId="3" type="noConversion"/>
  </si>
  <si>
    <t>서대문구 연희로 247</t>
    <phoneticPr fontId="3" type="noConversion"/>
  </si>
  <si>
    <t>어린이대공원화장실 2개소</t>
    <phoneticPr fontId="3" type="noConversion"/>
  </si>
  <si>
    <t>구로구 오류동 173-7</t>
    <phoneticPr fontId="3" type="noConversion"/>
  </si>
  <si>
    <t>강서구 개화동로8길 17</t>
    <phoneticPr fontId="3" type="noConversion"/>
  </si>
  <si>
    <t>서울시립발달장애인복지관 별관</t>
    <phoneticPr fontId="3" type="noConversion"/>
  </si>
  <si>
    <t>장애인자립지원과</t>
    <phoneticPr fontId="3" type="noConversion"/>
  </si>
  <si>
    <t>시립서대문농아인복지관 별관</t>
    <phoneticPr fontId="3" type="noConversion"/>
  </si>
  <si>
    <t>중화2동 복합청사</t>
    <phoneticPr fontId="3" type="noConversion"/>
  </si>
  <si>
    <t>중랑구 봉화산로 27</t>
    <phoneticPr fontId="3" type="noConversion"/>
  </si>
  <si>
    <t>구립용마경로복지관</t>
    <phoneticPr fontId="3" type="noConversion"/>
  </si>
  <si>
    <t>용산 대한노인회</t>
    <phoneticPr fontId="3" type="noConversion"/>
  </si>
  <si>
    <t>용산구 서빙고동 199-3</t>
    <phoneticPr fontId="3" type="noConversion"/>
  </si>
  <si>
    <t>용산구 독서당로 18 (한남동,한남유수지공영주차장)</t>
    <phoneticPr fontId="3" type="noConversion"/>
  </si>
  <si>
    <t>용산구 이태원동 216-13 여성가족과</t>
    <phoneticPr fontId="3" type="noConversion"/>
  </si>
  <si>
    <t>송파구 백제고분로32길 25-17</t>
    <phoneticPr fontId="3" type="noConversion"/>
  </si>
  <si>
    <t>송파구 올림픽로 474</t>
    <phoneticPr fontId="3" type="noConversion"/>
  </si>
  <si>
    <t>송파구 방이동 446-6</t>
    <phoneticPr fontId="3" type="noConversion"/>
  </si>
  <si>
    <t>동작구 신대방동 707</t>
    <phoneticPr fontId="3" type="noConversion"/>
  </si>
  <si>
    <t>강동구 아리수로 131</t>
    <phoneticPr fontId="3" type="noConversion"/>
  </si>
  <si>
    <t>성동구 송정18가길9</t>
    <phoneticPr fontId="3" type="noConversion"/>
  </si>
  <si>
    <t>성동구 용답동 95-1</t>
    <phoneticPr fontId="3" type="noConversion"/>
  </si>
  <si>
    <t>동작구 신대방동 여의대방로 20나길 39</t>
    <phoneticPr fontId="3" type="noConversion"/>
  </si>
  <si>
    <t>서대문구 수색로4가길 23</t>
    <phoneticPr fontId="3" type="noConversion"/>
  </si>
  <si>
    <t>동작구 동작대로29바길 3</t>
    <phoneticPr fontId="3" type="noConversion"/>
  </si>
  <si>
    <t>마포구 독막로 165(서강동 주민센터)</t>
    <phoneticPr fontId="3" type="noConversion"/>
  </si>
  <si>
    <t>동대문구 한천로 406</t>
    <phoneticPr fontId="3" type="noConversion"/>
  </si>
  <si>
    <t>동대문구 휘경로 78</t>
    <phoneticPr fontId="3" type="noConversion"/>
  </si>
  <si>
    <t>성동구 가람길 115</t>
    <phoneticPr fontId="3" type="noConversion"/>
  </si>
  <si>
    <t>동대문구 답십리로 210-9</t>
    <phoneticPr fontId="3" type="noConversion"/>
  </si>
  <si>
    <t>동대문구 천호대로 145</t>
    <phoneticPr fontId="3" type="noConversion"/>
  </si>
  <si>
    <t>성동구 왕십리로11길19</t>
    <phoneticPr fontId="3" type="noConversion"/>
  </si>
  <si>
    <t>성동구 무학봉15길 6</t>
    <phoneticPr fontId="3" type="noConversion"/>
  </si>
  <si>
    <t>영등포구 노들로11</t>
    <phoneticPr fontId="3" type="noConversion"/>
  </si>
  <si>
    <t>송파구 석촌호수로 12길 1-17</t>
    <phoneticPr fontId="3" type="noConversion"/>
  </si>
  <si>
    <t>송파구 백제고분로40길 13-16</t>
    <phoneticPr fontId="3" type="noConversion"/>
  </si>
  <si>
    <t>강동구 암사동3</t>
    <phoneticPr fontId="3" type="noConversion"/>
  </si>
  <si>
    <t>성동구 금호동1가 618-4</t>
    <phoneticPr fontId="3" type="noConversion"/>
  </si>
  <si>
    <t>종로구 성균관로 91</t>
    <phoneticPr fontId="3" type="noConversion"/>
  </si>
  <si>
    <t>노원구 중계동 107-54</t>
    <phoneticPr fontId="3" type="noConversion"/>
  </si>
  <si>
    <t>송파구 오금로 1 (신천동)</t>
    <phoneticPr fontId="3" type="noConversion"/>
  </si>
  <si>
    <t>동작구 상도동 202-58</t>
    <phoneticPr fontId="3" type="noConversion"/>
  </si>
  <si>
    <t>영등포구 신길로42길 1 외4필지(신길동)</t>
    <phoneticPr fontId="3" type="noConversion"/>
  </si>
  <si>
    <t>마포구 동교로1길 45 (망원동)</t>
    <phoneticPr fontId="3" type="noConversion"/>
  </si>
  <si>
    <t>마포구 대흥로20길 28 (대흥동,마포아트센터)</t>
    <phoneticPr fontId="3" type="noConversion"/>
  </si>
  <si>
    <t>마포구 토정로 8-19</t>
    <phoneticPr fontId="3" type="noConversion"/>
  </si>
  <si>
    <t>노원구 상계동 1035-4</t>
    <phoneticPr fontId="3" type="noConversion"/>
  </si>
  <si>
    <t>성북구 장위동 224-12</t>
    <phoneticPr fontId="3" type="noConversion"/>
  </si>
  <si>
    <t>성동구 행당로9길 9</t>
    <phoneticPr fontId="3" type="noConversion"/>
  </si>
  <si>
    <t>성동구 옥수동 428-5외 4필지</t>
    <phoneticPr fontId="3" type="noConversion"/>
  </si>
  <si>
    <t>성동구 사근동 299</t>
    <phoneticPr fontId="3" type="noConversion"/>
  </si>
  <si>
    <t>성동구 성수동1가 685-739</t>
    <phoneticPr fontId="3" type="noConversion"/>
  </si>
  <si>
    <t>중구 다산로36가길 23 (신당동)</t>
    <phoneticPr fontId="3" type="noConversion"/>
  </si>
  <si>
    <t>마포구 망원동 436-1 망원2동제1경로당</t>
    <phoneticPr fontId="3" type="noConversion"/>
  </si>
  <si>
    <t>마포구 만리재로16길 20-8(공덕동)</t>
    <phoneticPr fontId="3" type="noConversion"/>
  </si>
  <si>
    <t>성동구 둘레길 47-5 (성수동1가)</t>
    <phoneticPr fontId="3" type="noConversion"/>
  </si>
  <si>
    <t>성동구 송정18가길 29</t>
    <phoneticPr fontId="3" type="noConversion"/>
  </si>
  <si>
    <t>성동구 청계천로 546</t>
    <phoneticPr fontId="3" type="noConversion"/>
  </si>
  <si>
    <t>성동구 천호대로78길 9</t>
    <phoneticPr fontId="3" type="noConversion"/>
  </si>
  <si>
    <t>성동구 독서당로63길 44</t>
    <phoneticPr fontId="3" type="noConversion"/>
  </si>
  <si>
    <t>성동구 광나루로 104 (성수동1가)</t>
    <phoneticPr fontId="3" type="noConversion"/>
  </si>
  <si>
    <t>성동구 매봉18길 125 (금호동2가)</t>
    <phoneticPr fontId="3" type="noConversion"/>
  </si>
  <si>
    <t>성동구 성덕정길 115 (성수동2가)</t>
    <phoneticPr fontId="3" type="noConversion"/>
  </si>
  <si>
    <t>중구 동호로5길 189</t>
    <phoneticPr fontId="3" type="noConversion"/>
  </si>
  <si>
    <t>마포구 가양대로 203(상암동)</t>
    <phoneticPr fontId="3" type="noConversion"/>
  </si>
  <si>
    <t>서초구 남부순환로340길 58</t>
    <phoneticPr fontId="3" type="noConversion"/>
  </si>
  <si>
    <t>경기 남양주시 고산로 171</t>
    <phoneticPr fontId="3" type="noConversion"/>
  </si>
  <si>
    <t>양천구 목동동로 155</t>
    <phoneticPr fontId="3" type="noConversion"/>
  </si>
  <si>
    <t>성동구 왕십리로 27</t>
    <phoneticPr fontId="3" type="noConversion"/>
  </si>
  <si>
    <t>영등포구 노들로 11</t>
    <phoneticPr fontId="3" type="noConversion"/>
  </si>
  <si>
    <t xml:space="preserve">성동구 왕십리로5길 3 </t>
    <phoneticPr fontId="3" type="noConversion"/>
  </si>
  <si>
    <t>강서구 공항대로61길 29</t>
    <phoneticPr fontId="3" type="noConversion"/>
  </si>
  <si>
    <t>노원구 상계동 덕릉로70가길 92</t>
    <phoneticPr fontId="3" type="noConversion"/>
  </si>
  <si>
    <t>마포구 하늘공원로 108-1</t>
    <phoneticPr fontId="3" type="noConversion"/>
  </si>
  <si>
    <t>양천구 신월동 79-18</t>
    <phoneticPr fontId="3" type="noConversion"/>
  </si>
  <si>
    <t>디지털정책과</t>
    <phoneticPr fontId="3" type="noConversion"/>
  </si>
  <si>
    <t>영등포구 디지털로37나길 21 (대림동)</t>
    <phoneticPr fontId="3" type="noConversion"/>
  </si>
  <si>
    <t>둔촌1동주민센터</t>
    <phoneticPr fontId="3" type="noConversion"/>
  </si>
  <si>
    <t>강동구 양재대로84길 31(둔촌동)</t>
    <phoneticPr fontId="3" type="noConversion"/>
  </si>
  <si>
    <t>천호2동주민센터</t>
    <phoneticPr fontId="3" type="noConversion"/>
  </si>
  <si>
    <t>강동구 올림픽로80길 60</t>
    <phoneticPr fontId="3" type="noConversion"/>
  </si>
  <si>
    <t>천호3동주민센터</t>
    <phoneticPr fontId="3" type="noConversion"/>
  </si>
  <si>
    <t>서울특별시 강동구 진황도로23길 7</t>
    <phoneticPr fontId="3" type="noConversion"/>
  </si>
  <si>
    <t>상일2동주민센터</t>
    <phoneticPr fontId="3" type="noConversion"/>
  </si>
  <si>
    <t>서울 강동구 고덕로98길 71</t>
    <phoneticPr fontId="3" type="noConversion"/>
  </si>
  <si>
    <t>강동숲속도서관</t>
    <phoneticPr fontId="3" type="noConversion"/>
  </si>
  <si>
    <t>강동구 구천면로 587</t>
    <phoneticPr fontId="3" type="noConversion"/>
  </si>
  <si>
    <t>강동중앙도서관</t>
    <phoneticPr fontId="3" type="noConversion"/>
  </si>
  <si>
    <t>강동구 양재대로84길 6</t>
    <phoneticPr fontId="3" type="noConversion"/>
  </si>
  <si>
    <t>서울특별시평생교육진흥원</t>
    <phoneticPr fontId="3" type="noConversion"/>
  </si>
  <si>
    <t>불광2동주민센터</t>
    <phoneticPr fontId="3" type="noConversion"/>
  </si>
  <si>
    <t>연서로41길 18</t>
    <phoneticPr fontId="3" type="noConversion"/>
  </si>
  <si>
    <t>신사랑어린이집</t>
    <phoneticPr fontId="3" type="noConversion"/>
  </si>
  <si>
    <t>갈현로5길 25-19</t>
    <phoneticPr fontId="3" type="noConversion"/>
  </si>
  <si>
    <t>구립구산경로당</t>
    <phoneticPr fontId="3" type="noConversion"/>
  </si>
  <si>
    <t>서오릉로21길 11-8</t>
    <phoneticPr fontId="3" type="noConversion"/>
  </si>
  <si>
    <t>구립새장골경로당</t>
    <phoneticPr fontId="3" type="noConversion"/>
  </si>
  <si>
    <t>연소로37길 47</t>
    <phoneticPr fontId="3" type="noConversion"/>
  </si>
  <si>
    <t>서울특별시꿈나무마을</t>
    <phoneticPr fontId="3" type="noConversion"/>
  </si>
  <si>
    <t>백련산로14길20-11</t>
    <phoneticPr fontId="3" type="noConversion"/>
  </si>
  <si>
    <t>은평광역자원순환센터</t>
    <phoneticPr fontId="3" type="noConversion"/>
  </si>
  <si>
    <t>통일로 1200</t>
    <phoneticPr fontId="3" type="noConversion"/>
  </si>
  <si>
    <t>구립대조어린이집</t>
    <phoneticPr fontId="3" type="noConversion"/>
  </si>
  <si>
    <t>서울사진미술관</t>
    <phoneticPr fontId="3" type="noConversion"/>
  </si>
  <si>
    <t>도봉구 마들로13길 68</t>
    <phoneticPr fontId="3" type="noConversion"/>
  </si>
  <si>
    <t>금천구 시흥동 961-5</t>
    <phoneticPr fontId="3" type="noConversion"/>
  </si>
  <si>
    <t>노원구 중계동 508</t>
    <phoneticPr fontId="3" type="noConversion"/>
  </si>
  <si>
    <t>강서구 양천로 201 서남물재생센터 제2처리장 최초침전지 상부</t>
    <phoneticPr fontId="3" type="noConversion"/>
  </si>
  <si>
    <t>강서구 양천로 201 서남물재생센터 발전기동, 탈수기동</t>
    <phoneticPr fontId="3" type="noConversion"/>
  </si>
  <si>
    <t>강남구 개포로 625 탄천물재생센터 주차장</t>
    <phoneticPr fontId="3" type="noConversion"/>
  </si>
  <si>
    <t>강서구 양천로 201 서남물재생센터 물재생체험관 주차장</t>
    <phoneticPr fontId="3" type="noConversion"/>
  </si>
  <si>
    <t>강동리엔파크11단지</t>
    <phoneticPr fontId="3" type="noConversion"/>
  </si>
  <si>
    <t>서울 강동구 강동구 고덕로 98길 101</t>
    <phoneticPr fontId="3" type="noConversion"/>
  </si>
  <si>
    <t>강동리엔파크13단지</t>
    <phoneticPr fontId="3" type="noConversion"/>
  </si>
  <si>
    <t>서울 강동구 강동구 고덕로 98길 161</t>
    <phoneticPr fontId="3" type="noConversion"/>
  </si>
  <si>
    <t>강일리버파크11단지</t>
    <phoneticPr fontId="3" type="noConversion"/>
  </si>
  <si>
    <t>서울 강동구 강동구 고덕로 97길 10</t>
    <phoneticPr fontId="3" type="noConversion"/>
  </si>
  <si>
    <t>고덕온빛채</t>
    <phoneticPr fontId="3" type="noConversion"/>
  </si>
  <si>
    <t>서울 강동구 강동구 고덕동 716-62</t>
    <phoneticPr fontId="3" type="noConversion"/>
  </si>
  <si>
    <t>은평구 불광로 14길 10-4</t>
    <phoneticPr fontId="3" type="noConversion"/>
  </si>
  <si>
    <t>양천구 보건소 별관</t>
    <phoneticPr fontId="3" type="noConversion"/>
  </si>
  <si>
    <t>서울시 양천구 중앙로29가길 12</t>
    <phoneticPr fontId="3" type="noConversion"/>
  </si>
  <si>
    <t>양천구 보육타운</t>
    <phoneticPr fontId="3" type="noConversion"/>
  </si>
  <si>
    <t>서울시 양천구 신정동 330-13</t>
    <phoneticPr fontId="3" type="noConversion"/>
  </si>
  <si>
    <t>서울형키즈카페신정7동점</t>
  </si>
  <si>
    <t>신정3동현장민원실(넓은들민원실)</t>
    <phoneticPr fontId="3" type="noConversion"/>
  </si>
  <si>
    <t>목동어르신복지관</t>
    <phoneticPr fontId="3" type="noConversion"/>
  </si>
  <si>
    <t>에코스페이스 연의</t>
    <phoneticPr fontId="3" type="noConversion"/>
  </si>
  <si>
    <t>버들마을 주민공동이용시설</t>
    <phoneticPr fontId="3" type="noConversion"/>
  </si>
  <si>
    <t>서울특별시 구로구 오류로8길 51</t>
    <phoneticPr fontId="3" type="noConversion"/>
  </si>
  <si>
    <t>서초구 헌릉로 260</t>
    <phoneticPr fontId="3" type="noConversion"/>
  </si>
  <si>
    <r>
      <t xml:space="preserve">중랑캠핑숲(관리사무소,세척장) </t>
    </r>
    <r>
      <rPr>
        <sz val="11"/>
        <rFont val="맑은 고딕"/>
        <family val="3"/>
        <charset val="129"/>
      </rPr>
      <t>→ 중랑캠핑숲(관리사무소)</t>
    </r>
    <phoneticPr fontId="3" type="noConversion"/>
  </si>
  <si>
    <t>서울특별시 기술교육원 중부캠퍼스(나눔관, 창조관)</t>
    <phoneticPr fontId="3" type="noConversion"/>
  </si>
  <si>
    <t>서울특별시 기술교육원 북부캠퍼스(교육1관)</t>
    <phoneticPr fontId="3" type="noConversion"/>
  </si>
  <si>
    <t>서울특별시 기술교육원 중부캠퍼스(본관)</t>
    <phoneticPr fontId="3" type="noConversion"/>
  </si>
  <si>
    <t>서울특별시 기술교육원 북부캠퍼스(본관)</t>
    <phoneticPr fontId="3" type="noConversion"/>
  </si>
  <si>
    <t>서울특별시 기술교육원 동부캠퍼스(창조관)</t>
    <phoneticPr fontId="3" type="noConversion"/>
  </si>
  <si>
    <t>&lt;공공태양광 시설 현황 (`25.12월 기준)&gt;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</si>
</sst>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%"/>
    <numFmt numFmtId="177" formatCode="0.0"/>
    <numFmt numFmtId="178" formatCode="0.0000"/>
    <numFmt numFmtId="179" formatCode="_-* #,##0.00_-;\-* #,##0.00_-;_-* &quot;-&quot;_-;_-@_-"/>
  </numFmts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신명 태명조"/>
      <family val="3"/>
      <charset val="129"/>
    </font>
    <font>
      <b/>
      <sz val="14"/>
      <color rgb="FF000000"/>
      <name val="한양중고딕"/>
      <family val="3"/>
      <charset val="129"/>
    </font>
    <font>
      <sz val="13"/>
      <color rgb="FF000000"/>
      <name val="맑은 고딕"/>
      <family val="3"/>
      <charset val="129"/>
      <scheme val="minor"/>
    </font>
    <font>
      <sz val="13"/>
      <color rgb="FF0000FF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</font>
    <font>
      <sz val="11"/>
      <name val="맑은 고딕"/>
      <family val="2"/>
      <charset val="129"/>
      <scheme val="minor"/>
    </font>
    <font>
      <b/>
      <sz val="16"/>
      <color indexed="81"/>
      <name val="Tahoma"/>
      <family val="2"/>
    </font>
    <font>
      <b/>
      <sz val="16"/>
      <color indexed="81"/>
      <name val="돋움"/>
      <family val="3"/>
      <charset val="129"/>
    </font>
    <font>
      <sz val="20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sz val="1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41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3" fillId="0" borderId="0">
      <alignment vertical="center"/>
    </xf>
  </cellStyleXfs>
  <cellXfs count="9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8" fillId="0" borderId="1" xfId="0" applyNumberFormat="1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8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9" fontId="11" fillId="0" borderId="2" xfId="2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NumberFormat="1" applyFont="1" applyFill="1" applyBorder="1" applyAlignment="1">
      <alignment horizontal="center" vertical="center"/>
    </xf>
    <xf numFmtId="3" fontId="13" fillId="3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left" vertical="center"/>
    </xf>
    <xf numFmtId="3" fontId="11" fillId="0" borderId="1" xfId="0" applyNumberFormat="1" applyFont="1" applyFill="1" applyBorder="1" applyAlignment="1">
      <alignment horizontal="right" vertical="center"/>
    </xf>
    <xf numFmtId="3" fontId="11" fillId="0" borderId="1" xfId="1" applyNumberFormat="1" applyFont="1" applyFill="1" applyBorder="1" applyAlignment="1">
      <alignment horizontal="right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>
      <alignment vertical="center"/>
    </xf>
    <xf numFmtId="177" fontId="11" fillId="0" borderId="2" xfId="4" applyNumberFormat="1" applyFont="1" applyFill="1" applyBorder="1" applyAlignment="1">
      <alignment horizontal="center" vertical="center"/>
    </xf>
    <xf numFmtId="0" fontId="11" fillId="0" borderId="1" xfId="3" applyNumberFormat="1" applyFont="1" applyFill="1" applyBorder="1" applyAlignment="1">
      <alignment horizontal="left" vertical="center" wrapText="1"/>
    </xf>
    <xf numFmtId="0" fontId="11" fillId="0" borderId="1" xfId="8" applyNumberFormat="1" applyFont="1" applyFill="1" applyBorder="1" applyAlignment="1">
      <alignment horizontal="center" vertical="center"/>
    </xf>
    <xf numFmtId="0" fontId="11" fillId="0" borderId="1" xfId="10" applyNumberFormat="1" applyFont="1" applyFill="1" applyBorder="1" applyAlignment="1">
      <alignment horizontal="left" vertical="center"/>
    </xf>
    <xf numFmtId="3" fontId="11" fillId="0" borderId="1" xfId="10" applyNumberFormat="1" applyFont="1" applyFill="1" applyBorder="1" applyAlignment="1">
      <alignment horizontal="right" vertical="center"/>
    </xf>
    <xf numFmtId="1" fontId="11" fillId="0" borderId="1" xfId="0" applyNumberFormat="1" applyFont="1" applyFill="1" applyBorder="1" applyAlignment="1">
      <alignment horizontal="right" vertical="center"/>
    </xf>
    <xf numFmtId="0" fontId="0" fillId="5" borderId="0" xfId="0" applyFill="1">
      <alignment vertical="center"/>
    </xf>
    <xf numFmtId="0" fontId="0" fillId="0" borderId="0" xfId="0" applyBorder="1">
      <alignment vertical="center"/>
    </xf>
    <xf numFmtId="0" fontId="16" fillId="6" borderId="0" xfId="0" applyFont="1" applyFill="1" applyBorder="1" applyAlignment="1">
      <alignment horizontal="center" vertical="center" wrapText="1"/>
    </xf>
    <xf numFmtId="3" fontId="17" fillId="6" borderId="0" xfId="0" applyNumberFormat="1" applyFont="1" applyFill="1" applyBorder="1" applyAlignment="1">
      <alignment horizontal="center" vertical="center" wrapText="1"/>
    </xf>
    <xf numFmtId="3" fontId="18" fillId="6" borderId="0" xfId="0" applyNumberFormat="1" applyFont="1" applyFill="1" applyBorder="1" applyAlignment="1">
      <alignment horizontal="center" vertical="center" wrapText="1"/>
    </xf>
    <xf numFmtId="0" fontId="17" fillId="6" borderId="0" xfId="0" applyFont="1" applyFill="1" applyBorder="1" applyAlignment="1">
      <alignment horizontal="center" vertical="center" wrapText="1"/>
    </xf>
    <xf numFmtId="0" fontId="11" fillId="5" borderId="1" xfId="0" applyNumberFormat="1" applyFont="1" applyFill="1" applyBorder="1" applyAlignment="1">
      <alignment horizontal="left" vertical="center" wrapText="1"/>
    </xf>
    <xf numFmtId="0" fontId="11" fillId="5" borderId="1" xfId="0" applyNumberFormat="1" applyFont="1" applyFill="1" applyBorder="1" applyAlignment="1">
      <alignment horizontal="left" vertical="center"/>
    </xf>
    <xf numFmtId="0" fontId="11" fillId="5" borderId="1" xfId="4" applyNumberFormat="1" applyFont="1" applyFill="1" applyBorder="1" applyAlignment="1">
      <alignment horizontal="left"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shrinkToFit="1"/>
    </xf>
    <xf numFmtId="3" fontId="21" fillId="0" borderId="1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 wrapText="1"/>
    </xf>
    <xf numFmtId="0" fontId="21" fillId="0" borderId="0" xfId="0" applyNumberFormat="1" applyFont="1" applyFill="1" applyAlignment="1">
      <alignment horizontal="center" vertical="center"/>
    </xf>
    <xf numFmtId="49" fontId="21" fillId="0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179" fontId="21" fillId="0" borderId="0" xfId="1" applyNumberFormat="1" applyFont="1" applyFill="1" applyAlignment="1">
      <alignment horizontal="center" vertical="center"/>
    </xf>
    <xf numFmtId="179" fontId="21" fillId="0" borderId="1" xfId="1" applyNumberFormat="1" applyFont="1" applyFill="1" applyBorder="1" applyAlignment="1">
      <alignment horizontal="center" vertical="center" wrapText="1"/>
    </xf>
    <xf numFmtId="179" fontId="21" fillId="0" borderId="1" xfId="1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179" fontId="21" fillId="0" borderId="1" xfId="1" applyNumberFormat="1" applyFont="1" applyFill="1" applyBorder="1" applyAlignment="1">
      <alignment vertical="center"/>
    </xf>
    <xf numFmtId="179" fontId="21" fillId="0" borderId="1" xfId="1" applyNumberFormat="1" applyFont="1" applyFill="1" applyBorder="1" applyAlignment="1">
      <alignment horizontal="right" vertical="center"/>
    </xf>
    <xf numFmtId="0" fontId="23" fillId="0" borderId="1" xfId="18" applyFont="1" applyFill="1" applyBorder="1" applyAlignment="1">
      <alignment horizontal="center" vertical="center"/>
    </xf>
    <xf numFmtId="0" fontId="23" fillId="0" borderId="1" xfId="18" applyFont="1" applyFill="1" applyBorder="1" applyAlignment="1">
      <alignment horizontal="center" vertical="center" wrapText="1"/>
    </xf>
    <xf numFmtId="0" fontId="24" fillId="0" borderId="0" xfId="0" applyFont="1" applyFill="1">
      <alignment vertical="center"/>
    </xf>
    <xf numFmtId="0" fontId="21" fillId="0" borderId="1" xfId="8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179" fontId="23" fillId="0" borderId="1" xfId="1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79" fontId="21" fillId="0" borderId="1" xfId="13" applyNumberFormat="1" applyFont="1" applyFill="1" applyBorder="1" applyAlignment="1">
      <alignment horizontal="center" vertical="center"/>
    </xf>
    <xf numFmtId="49" fontId="22" fillId="0" borderId="1" xfId="0" applyNumberFormat="1" applyFont="1" applyFill="1" applyBorder="1" applyAlignment="1">
      <alignment horizontal="center" vertical="center"/>
    </xf>
    <xf numFmtId="0" fontId="21" fillId="0" borderId="1" xfId="8" applyFont="1" applyFill="1" applyBorder="1" applyAlignment="1">
      <alignment horizontal="center" vertical="center"/>
    </xf>
    <xf numFmtId="0" fontId="24" fillId="0" borderId="1" xfId="3" applyNumberFormat="1" applyFont="1" applyFill="1" applyBorder="1" applyAlignment="1">
      <alignment horizontal="center" vertical="center"/>
    </xf>
    <xf numFmtId="0" fontId="24" fillId="0" borderId="1" xfId="3" applyNumberFormat="1" applyFont="1" applyFill="1" applyBorder="1" applyAlignment="1">
      <alignment horizontal="center" vertical="center" wrapText="1"/>
    </xf>
    <xf numFmtId="0" fontId="21" fillId="0" borderId="1" xfId="11" applyNumberFormat="1" applyFont="1" applyFill="1" applyBorder="1" applyAlignment="1">
      <alignment horizontal="center" vertical="center" wrapText="1"/>
    </xf>
    <xf numFmtId="49" fontId="23" fillId="0" borderId="1" xfId="18" applyNumberFormat="1" applyFont="1" applyFill="1" applyBorder="1" applyAlignment="1">
      <alignment horizontal="center" vertical="center"/>
    </xf>
    <xf numFmtId="0" fontId="21" fillId="0" borderId="1" xfId="4" applyNumberFormat="1" applyFont="1" applyFill="1" applyBorder="1" applyAlignment="1">
      <alignment horizontal="center" vertical="center" wrapText="1"/>
    </xf>
    <xf numFmtId="3" fontId="21" fillId="0" borderId="1" xfId="10" applyNumberFormat="1" applyFont="1" applyFill="1" applyBorder="1" applyAlignment="1">
      <alignment horizontal="center" vertical="center"/>
    </xf>
    <xf numFmtId="49" fontId="21" fillId="0" borderId="1" xfId="10" applyNumberFormat="1" applyFont="1" applyFill="1" applyBorder="1" applyAlignment="1">
      <alignment horizontal="center" vertical="center"/>
    </xf>
    <xf numFmtId="0" fontId="21" fillId="0" borderId="1" xfId="10" applyNumberFormat="1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/>
    </xf>
    <xf numFmtId="179" fontId="22" fillId="0" borderId="1" xfId="1" applyNumberFormat="1" applyFont="1" applyFill="1" applyBorder="1" applyAlignment="1">
      <alignment horizontal="center" vertical="center"/>
    </xf>
    <xf numFmtId="179" fontId="21" fillId="0" borderId="1" xfId="1" applyNumberFormat="1" applyFont="1" applyFill="1" applyBorder="1" applyAlignment="1">
      <alignment horizontal="center" vertical="center" shrinkToFit="1"/>
    </xf>
    <xf numFmtId="179" fontId="22" fillId="0" borderId="1" xfId="1" applyNumberFormat="1" applyFont="1" applyFill="1" applyBorder="1" applyAlignment="1">
      <alignment horizontal="right" vertical="center"/>
    </xf>
    <xf numFmtId="41" fontId="23" fillId="0" borderId="1" xfId="7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/>
    </xf>
    <xf numFmtId="179" fontId="21" fillId="0" borderId="1" xfId="1" applyNumberFormat="1" applyFont="1" applyFill="1" applyBorder="1" applyAlignment="1">
      <alignment horizontal="right" vertical="center" shrinkToFit="1"/>
    </xf>
    <xf numFmtId="179" fontId="24" fillId="0" borderId="1" xfId="1" applyNumberFormat="1" applyFont="1" applyFill="1" applyBorder="1" applyAlignment="1">
      <alignment horizontal="center" vertical="center"/>
    </xf>
    <xf numFmtId="41" fontId="21" fillId="0" borderId="1" xfId="7" applyNumberFormat="1" applyFont="1" applyFill="1" applyBorder="1" applyAlignment="1">
      <alignment horizontal="center" vertical="center"/>
    </xf>
    <xf numFmtId="179" fontId="28" fillId="0" borderId="1" xfId="1" applyNumberFormat="1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21" fillId="0" borderId="0" xfId="0" applyFont="1" applyFill="1">
      <alignment vertical="center"/>
    </xf>
    <xf numFmtId="179" fontId="22" fillId="0" borderId="1" xfId="17" applyNumberFormat="1" applyFont="1" applyFill="1" applyBorder="1" applyAlignment="1">
      <alignment horizontal="center" vertical="center"/>
    </xf>
    <xf numFmtId="179" fontId="21" fillId="0" borderId="1" xfId="0" applyNumberFormat="1" applyFont="1" applyFill="1" applyBorder="1" applyAlignment="1">
      <alignment horizontal="right" vertical="center"/>
    </xf>
    <xf numFmtId="179" fontId="21" fillId="0" borderId="1" xfId="0" applyNumberFormat="1" applyFont="1" applyFill="1" applyBorder="1" applyAlignment="1">
      <alignment horizontal="right" vertical="center" wrapText="1"/>
    </xf>
    <xf numFmtId="179" fontId="24" fillId="0" borderId="1" xfId="4" applyNumberFormat="1" applyFont="1" applyFill="1" applyBorder="1" applyAlignment="1">
      <alignment horizontal="center" vertical="center"/>
    </xf>
    <xf numFmtId="179" fontId="24" fillId="0" borderId="1" xfId="3" applyNumberFormat="1" applyFont="1" applyFill="1" applyBorder="1" applyAlignment="1">
      <alignment horizontal="center" vertical="center"/>
    </xf>
    <xf numFmtId="179" fontId="21" fillId="0" borderId="3" xfId="1" applyNumberFormat="1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179" fontId="27" fillId="0" borderId="0" xfId="1" applyNumberFormat="1" applyFont="1" applyFill="1" applyAlignment="1">
      <alignment horizontal="center" vertical="center"/>
    </xf>
  </cellXfs>
  <cellStyles count="19">
    <cellStyle name="백분율" xfId="2" builtinId="5"/>
    <cellStyle name="쉼표 [0]" xfId="1" builtinId="6"/>
    <cellStyle name="쉼표 [0] 10 2" xfId="4" xr:uid="{00000000-0005-0000-0000-000002000000}"/>
    <cellStyle name="쉼표 [0] 10 2 2" xfId="5" xr:uid="{00000000-0005-0000-0000-000003000000}"/>
    <cellStyle name="쉼표 [0] 10 2 2 2" xfId="15" xr:uid="{CEAA4BBF-8069-4D59-AE8A-873A7CF50DC3}"/>
    <cellStyle name="쉼표 [0] 10 2 3" xfId="14" xr:uid="{8706C1F6-32A9-45F0-B7A0-E278EEE2ADB0}"/>
    <cellStyle name="쉼표 [0] 10 2_통합시트(1,2,3 시트)" xfId="12" xr:uid="{00000000-0005-0000-0000-000004000000}"/>
    <cellStyle name="쉼표 [0] 2" xfId="13" xr:uid="{9581B3BC-8D79-452B-8CE3-A37E89F0E4D4}"/>
    <cellStyle name="쉼표 [0] 3" xfId="6" xr:uid="{00000000-0005-0000-0000-000005000000}"/>
    <cellStyle name="쉼표 [0] 3 2" xfId="16" xr:uid="{F6687785-2515-42B3-B7B1-B4876A9BF9EE}"/>
    <cellStyle name="쉼표 [0] 4" xfId="17" xr:uid="{019929A3-2276-4E7C-87AD-E9D04ABB4A1A}"/>
    <cellStyle name="좋음" xfId="3" builtinId="26"/>
    <cellStyle name="표준" xfId="0" builtinId="0"/>
    <cellStyle name="표준 10" xfId="9" xr:uid="{00000000-0005-0000-0000-000008000000}"/>
    <cellStyle name="표준 10 2" xfId="7" xr:uid="{00000000-0005-0000-0000-000009000000}"/>
    <cellStyle name="표준 104 2" xfId="8" xr:uid="{00000000-0005-0000-0000-00000A000000}"/>
    <cellStyle name="표준 3" xfId="11" xr:uid="{00000000-0005-0000-0000-00000B000000}"/>
    <cellStyle name="표준_Sheet1" xfId="18" xr:uid="{DE941FC7-533F-40E7-9FB0-29944BE2F2A7}"/>
    <cellStyle name="표준_Sheet1_1" xfId="10" xr:uid="{00000000-0005-0000-0000-00000C000000}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0000FF"/>
      <color rgb="FFFF64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250.373795486114" createdVersion="5" refreshedVersion="5" minRefreshableVersion="3" recordCount="92" xr:uid="{00000000-000A-0000-FFFF-FFFF1E000000}">
  <cacheSource type="worksheet">
    <worksheetSource ref="D5:D97" sheet="Sheet4"/>
  </cacheSource>
  <cacheFields count="1">
    <cacheField name="ff" numFmtId="0">
      <sharedItems count="13">
        <s v="코로나19 휴관"/>
        <s v="주변환경 변화에 따른 음영"/>
        <s v="음식물처리장 내부수리"/>
        <s v="원인미상"/>
        <s v="시설정비"/>
        <s v="시설노후"/>
        <s v="시설 정비중"/>
        <s v="디자인 태양광"/>
        <s v="기타(시설이전)"/>
        <s v="기타(디자인고려 경사각 낮음)"/>
        <s v="건물리모델링"/>
        <s v="BIPV"/>
        <s v=" 시설노후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265.922479050925" createdVersion="5" refreshedVersion="5" minRefreshableVersion="3" recordCount="1075" xr:uid="{00000000-000A-0000-FFFF-FFFF1F000000}">
  <cacheSource type="worksheet">
    <worksheetSource ref="B3:F1039" sheet="rawdata"/>
  </cacheSource>
  <cacheFields count="45">
    <cacheField name="연번" numFmtId="0">
      <sharedItems containsMixedTypes="1" containsNumber="1" containsInteger="1" minValue="1" maxValue="1078"/>
    </cacheField>
    <cacheField name="관리번호" numFmtId="0">
      <sharedItems count="1076">
        <s v="07-008-001"/>
        <s v="07-024-001"/>
        <s v="07-103-001"/>
        <s v="07-128-001"/>
        <s v="07-134-001"/>
        <s v="07-202-001"/>
        <s v="07-204-001"/>
        <s v="07-408-001"/>
        <s v="08-020-001"/>
        <s v="08-020-002"/>
        <s v="08-024-001"/>
        <s v="08-104-001"/>
        <s v="08-113-001"/>
        <s v="08-115-001"/>
        <s v="08-405-001"/>
        <s v="08-405-002"/>
        <s v="08-410-001"/>
        <s v="08-414-001"/>
        <s v="08-417-001"/>
        <s v="08-419-001"/>
        <s v="08-421-001"/>
        <s v="09-008-001"/>
        <s v="09-021-001"/>
        <s v="09-023-001"/>
        <s v="09-024-001"/>
        <s v="09-024-002"/>
        <s v="09-026-001"/>
        <s v="09-026-002"/>
        <s v="09-102-001"/>
        <s v="09-103-001"/>
        <s v="09-111-001"/>
        <s v="09-112-002"/>
        <s v="09-112-003"/>
        <s v="09-112-004"/>
        <s v="09-112-005"/>
        <s v="09-112-006"/>
        <s v="09-112-007"/>
        <s v="09-112-008"/>
        <s v="09-112-009"/>
        <s v="09-122-001"/>
        <s v="09-126-001"/>
        <s v="09-129-001"/>
        <s v="09-129-002"/>
        <s v="09-130-001"/>
        <s v="09-130-002"/>
        <s v="09-130-003"/>
        <s v="09-130-004"/>
        <s v="09-202-001"/>
        <s v="09-203-001"/>
        <s v="09-204-001"/>
        <s v="09-204-002"/>
        <s v="09-204-003"/>
        <s v="09-204-004"/>
        <s v="09-204-005"/>
        <s v="09-204-006"/>
        <s v="09-204-007"/>
        <s v="09-205-001"/>
        <s v="09-401-001"/>
        <s v="09-401-002"/>
        <s v="09-401-003"/>
        <s v="09-401-004"/>
        <s v="09-401-005"/>
        <s v="09-401-006"/>
        <s v="09-403-001"/>
        <s v="09-405-001"/>
        <s v="09-405-002"/>
        <s v="09-405-003"/>
        <s v="09-406-001"/>
        <s v="09-407-001"/>
        <s v="09-408-001"/>
        <s v="09-408-002"/>
        <s v="09-408-003"/>
        <s v="09-409-001"/>
        <s v="09-410-001"/>
        <s v="09-410-002"/>
        <s v="09-411-001"/>
        <s v="09-411-002"/>
        <s v="09-411-003"/>
        <s v="09-412-001"/>
        <s v="09-413-001"/>
        <s v="09-413-002"/>
        <s v="09-413-003"/>
        <s v="09-413-004"/>
        <s v="09-413-005"/>
        <s v="09-413-006"/>
        <s v="09-414-001"/>
        <s v="09-414-002"/>
        <s v="09-414-003"/>
        <s v="09-414-004"/>
        <s v="09-414-005"/>
        <s v="09-414-006"/>
        <s v="09-417-001"/>
        <s v="09-417-002"/>
        <s v="09-417-003"/>
        <s v="09-417-004"/>
        <s v="09-418-001"/>
        <s v="09-418-002"/>
        <s v="09-418-003"/>
        <s v="09-419-001"/>
        <s v="09-419-002"/>
        <s v="09-419-003"/>
        <s v="09-419-004"/>
        <s v="09-420-001"/>
        <s v="09-421-001"/>
        <s v="09-421-002"/>
        <s v="09-422-002"/>
        <s v="09-422-003"/>
        <s v="09-423-001"/>
        <s v="09-423-002"/>
        <s v="09-424-001"/>
        <s v="09-425-001"/>
        <s v="10-026-001"/>
        <s v="10-026-002"/>
        <s v="10-028-001"/>
        <s v="10-036-001"/>
        <s v="10-101-001"/>
        <s v="10-103-001"/>
        <s v="10-111-001"/>
        <s v="10-113-001"/>
        <s v="10-127-001"/>
        <s v="10-129-001"/>
        <s v="10-202-001"/>
        <s v="10-202-002"/>
        <s v="10-202-003"/>
        <s v="10-202-004"/>
        <s v="10-202-005"/>
        <s v="10-202-006"/>
        <s v="10-204-001"/>
        <s v="10-204-002"/>
        <s v="10-204-003"/>
        <s v="10-204-004"/>
        <s v="10-204-005"/>
        <s v="10-204-006"/>
        <s v="10-204-007"/>
        <s v="10-204-008"/>
        <s v="10-204-009"/>
        <s v="10-204-010"/>
        <s v="10-204-011"/>
        <s v="10-300-001"/>
        <s v="10-401-001"/>
        <s v="10-402-001"/>
        <s v="10-402-002"/>
        <s v="10-402-003"/>
        <s v="10-403-001"/>
        <s v="10-403-002"/>
        <s v="10-403-003"/>
        <s v="10-404-002"/>
        <s v="10-404-003"/>
        <s v="10-404-004"/>
        <s v="10-405-001"/>
        <s v="10-405-002"/>
        <s v="10-405-003"/>
        <s v="10-405-004"/>
        <s v="10-405-005"/>
        <s v="10-405-006"/>
        <s v="10-406-001"/>
        <s v="10-406-002"/>
        <s v="10-406-003"/>
        <s v="10-406-004"/>
        <s v="10-406-005"/>
        <s v="10-408-001"/>
        <s v="10-408-002"/>
        <s v="10-409-001"/>
        <s v="10-411-001"/>
        <s v="10-411-002"/>
        <s v="10-411-003"/>
        <s v="10-411-004"/>
        <s v="10-411-005"/>
        <s v="10-411-006"/>
        <s v="10-412-001"/>
        <s v="10-412-002"/>
        <s v="10-412-003"/>
        <s v="10-412-004"/>
        <s v="10-412-005"/>
        <s v="10-413-001"/>
        <s v="10-414-001"/>
        <s v="10-414-002"/>
        <s v="10-414-003"/>
        <s v="10-414-004"/>
        <s v="10-415-001"/>
        <s v="10-418-001"/>
        <s v="10-418-002"/>
        <s v="10-418-003"/>
        <s v="10-418-004"/>
        <s v="10-419-001"/>
        <s v="10-419-002"/>
        <s v="10-419-003"/>
        <s v="10-419-004"/>
        <s v="10-420-001"/>
        <s v="10-421-001"/>
        <s v="10-421-002"/>
        <s v="10-422-001"/>
        <s v="10-423-001"/>
        <s v="10-423-002"/>
        <s v="10-423-003"/>
        <s v="10-424-001"/>
        <s v="10-424-002"/>
        <s v="10-425-001"/>
        <s v="10-425-002"/>
        <s v="10-425-003"/>
        <s v="10-425-004"/>
        <s v="10-425-005"/>
        <s v="11-023-001"/>
        <s v="11-023-002"/>
        <s v="11-026-001"/>
        <s v="11-101-001"/>
        <s v="11-102-001"/>
        <s v="11-113-001"/>
        <s v="11-126-001"/>
        <s v="11-202-001"/>
        <s v="11-204-001"/>
        <s v="11-204-002"/>
        <s v="11-204-003"/>
        <s v="11-204-004"/>
        <s v="11-206-001"/>
        <s v="11-401-001"/>
        <s v="11-405-001"/>
        <s v="11-405-002"/>
        <s v="11-406-001"/>
        <s v="11-409-001"/>
        <s v="11-411-001"/>
        <s v="11-411-002"/>
        <s v="11-411-003"/>
        <s v="11-411-004"/>
        <s v="11-412-001"/>
        <s v="11-412-002"/>
        <s v="11-413-001"/>
        <s v="11-414-001"/>
        <s v="11-418-001"/>
        <s v="11-418-002"/>
        <s v="11-419-001"/>
        <s v="11-421-001"/>
        <s v="11-421-002"/>
        <s v="11-421-003"/>
        <s v="11-423-001"/>
        <s v="11-424-001"/>
        <s v="11-424-002"/>
        <s v="11-424-003"/>
        <s v="11-425-001"/>
        <s v="11-425-002"/>
        <s v="12-023-001"/>
        <s v="12-024-001"/>
        <s v="12-026-001"/>
        <s v="12-032-001"/>
        <s v="12-036-001"/>
        <s v="12-036-002"/>
        <s v="12-116-001"/>
        <s v="12-122-001"/>
        <s v="12-126-001"/>
        <s v="12-126-002"/>
        <s v="12-126-003"/>
        <s v="12-202-001"/>
        <s v="12-202-002"/>
        <s v="12-202-003"/>
        <s v="12-204-001"/>
        <s v="12-204-002"/>
        <s v="12-204-003"/>
        <s v="12-204-004"/>
        <s v="12-204-005"/>
        <s v="12-300-001"/>
        <s v="12-401-001"/>
        <s v="12-402-001"/>
        <s v="12-404-001"/>
        <s v="12-404-002"/>
        <s v="12-405-001"/>
        <s v="12-405-002"/>
        <s v="12-406-001"/>
        <s v="12-408-001"/>
        <s v="12-411-001"/>
        <s v="12-411-002"/>
        <s v="12-413-001"/>
        <s v="12-413-002"/>
        <s v="12-415-001"/>
        <s v="12-415-002"/>
        <s v="12-415-003"/>
        <s v="12-416-001"/>
        <s v="12-419-001"/>
        <s v="12-419-002"/>
        <s v="12-419-003"/>
        <s v="12-421-001"/>
        <s v="12-422-001"/>
        <s v="12-422-002"/>
        <s v="12-423-001"/>
        <s v="12-424-001"/>
        <s v="12-424-002"/>
        <s v="12-425-001"/>
        <s v="12-425-002"/>
        <s v="12-425-003"/>
        <s v="13-023-001"/>
        <s v="13-024-001"/>
        <s v="13-026-001"/>
        <s v="13-026-002"/>
        <s v="13-036-001"/>
        <s v="13-036-002"/>
        <s v="13-101-001"/>
        <s v="13-101-002"/>
        <s v="13-101-003"/>
        <s v="13-101-004"/>
        <s v="13-101-005"/>
        <s v="13-101-006"/>
        <s v="13-112-001"/>
        <s v="13-121-001"/>
        <s v="13-122-001"/>
        <s v="13-127-001"/>
        <s v="13-130-001"/>
        <s v="13-202-001"/>
        <s v="13-202-002"/>
        <s v="13-202-003"/>
        <s v="13-204-001"/>
        <s v="13-204-002"/>
        <s v="13-204-003"/>
        <s v="13-215-001"/>
        <s v="13-300-001"/>
        <s v="13-403-001"/>
        <s v="13-404-001"/>
        <s v="13-406-001"/>
        <s v="13-408-001"/>
        <s v="13-408-002"/>
        <s v="13-409-001"/>
        <s v="13-409-002"/>
        <s v="13-410-001"/>
        <s v="13-412-001"/>
        <s v="13-412-002"/>
        <s v="13-413-001"/>
        <s v="13-414-001"/>
        <s v="13-415-001"/>
        <s v="13-415-002"/>
        <s v="13-415-003"/>
        <s v="13-415-004"/>
        <s v="13-416-001"/>
        <s v="13-416-002"/>
        <s v="13-416-003"/>
        <s v="13-416-004"/>
        <s v="13-416-005"/>
        <s v="13-417-001"/>
        <s v="13-417-002"/>
        <s v="13-418-001"/>
        <s v="13-418-002"/>
        <s v="13-418-003"/>
        <s v="13-418-004"/>
        <s v="13-418-005"/>
        <s v="13-418-006"/>
        <s v="13-420-001"/>
        <s v="13-421-001"/>
        <s v="13-421-002"/>
        <s v="13-421-003"/>
        <s v="13-422-001"/>
        <s v="13-422-002"/>
        <s v="13-422-003"/>
        <s v="13-423-001"/>
        <s v="13-424-001"/>
        <s v="13-424-002"/>
        <s v="13-425-001"/>
        <s v="13-425-002"/>
        <s v="13-425-003"/>
        <s v="13-425-004"/>
        <s v="13-425-005"/>
        <s v="14-020-001"/>
        <s v="14-020-002"/>
        <s v="14-023-001"/>
        <s v="14-023-002"/>
        <s v="14-026-001"/>
        <s v="14-036-001"/>
        <s v="14-036-002"/>
        <s v="14-036-003"/>
        <s v="14-036-004"/>
        <s v="14-036-005"/>
        <s v="14-036-006"/>
        <s v="14-036-007"/>
        <s v="14-036-008"/>
        <s v="14-036-009"/>
        <s v="14-101-001"/>
        <s v="14-112-001"/>
        <s v="14-112-002"/>
        <s v="14-112-003"/>
        <s v="14-112-004"/>
        <s v="14-112-005"/>
        <s v="14-122-001"/>
        <s v="14-203-001"/>
        <s v="14-204-001"/>
        <s v="14-204-002"/>
        <s v="14-204-003"/>
        <s v="14-204-004"/>
        <s v="14-401-001"/>
        <s v="14-402-001"/>
        <s v="14-404-001"/>
        <s v="14-404-002"/>
        <s v="14-404-003"/>
        <s v="14-404-004"/>
        <s v="14-404-005"/>
        <s v="14-406-001"/>
        <s v="14-406-002"/>
        <s v="14-406-003"/>
        <s v="14-406-004"/>
        <s v="14-409-001"/>
        <s v="14-409-002"/>
        <s v="14-410-001"/>
        <s v="14-410-002"/>
        <s v="14-410-003"/>
        <s v="14-410-004"/>
        <s v="14-410-005"/>
        <s v="14-410-006"/>
        <s v="14-411-001"/>
        <s v="14-411-002"/>
        <s v="14-411-003"/>
        <s v="14-411-004"/>
        <s v="14-412-001"/>
        <s v="14-413-001"/>
        <s v="14-413-002"/>
        <s v="14-414-001"/>
        <s v="14-415-001"/>
        <s v="14-415-002"/>
        <s v="14-415-003"/>
        <s v="14-415-004"/>
        <s v="14-416-001"/>
        <s v="14-416-002"/>
        <s v="14-417-001"/>
        <s v="14-417-002"/>
        <s v="14-417-003"/>
        <s v="14-417-004"/>
        <s v="14-418-001"/>
        <s v="14-418-002"/>
        <s v="14-418-003"/>
        <s v="14-418-004"/>
        <s v="14-419-001"/>
        <s v="14-420-001"/>
        <s v="14-421-001"/>
        <s v="14-421-002"/>
        <s v="14-422-001"/>
        <s v="14-423-001"/>
        <s v="14-424-001"/>
        <s v="14-424-002"/>
        <s v="14-425-001"/>
        <s v="15-008-001"/>
        <s v="15-023-001"/>
        <s v="15-023-003"/>
        <s v="15-023-004"/>
        <s v="15-023-005"/>
        <s v="15-026-001"/>
        <s v="15-036-001"/>
        <s v="15-036-002"/>
        <s v="15-101-001"/>
        <s v="15-111-001"/>
        <s v="15-116-001"/>
        <s v="15-119-001"/>
        <s v="15-119-002"/>
        <s v="15-202-001"/>
        <s v="15-202-002"/>
        <s v="15-203-001"/>
        <s v="15-203-002"/>
        <s v="15-205-001"/>
        <s v="15-205-002"/>
        <s v="15-205-003"/>
        <s v="15-205-004"/>
        <s v="15-401-001"/>
        <s v="15-401-002"/>
        <s v="15-401-003"/>
        <s v="15-402-001"/>
        <s v="15-402-002"/>
        <s v="15-402-003"/>
        <s v="15-403-001"/>
        <s v="15-404-001"/>
        <s v="15-404-002"/>
        <s v="15-404-003"/>
        <s v="15-404-004"/>
        <s v="15-405-001"/>
        <s v="15-405-002"/>
        <s v="15-406-001"/>
        <s v="15-406-002"/>
        <s v="15-406-003"/>
        <s v="15-406-004"/>
        <s v="15-406-005"/>
        <s v="15-407-001"/>
        <s v="15-407-002"/>
        <s v="15-408-001"/>
        <s v="15-408-002"/>
        <s v="15-408-003"/>
        <s v="15-408-004"/>
        <s v="15-408-005"/>
        <s v="15-408-006"/>
        <s v="15-409-001"/>
        <s v="15-409-002"/>
        <s v="15-409-003"/>
        <s v="15-409-004"/>
        <s v="15-410-001"/>
        <s v="15-410-002"/>
        <s v="15-410-003"/>
        <s v="15-410-004"/>
        <s v="15-410-005"/>
        <s v="15-410-006"/>
        <s v="15-410-007"/>
        <s v="15-410-008"/>
        <s v="15-411-001"/>
        <s v="15-411-002"/>
        <s v="15-411-003"/>
        <s v="15-411-004"/>
        <s v="15-411-005"/>
        <s v="15-411-006"/>
        <s v="15-411-007"/>
        <s v="15-411-008"/>
        <s v="15-412-001"/>
        <s v="15-412-002"/>
        <s v="15-412-003"/>
        <s v="15-413-001"/>
        <s v="15-413-002"/>
        <s v="15-413-003"/>
        <s v="15-413-004"/>
        <s v="15-413-005"/>
        <s v="15-414-001"/>
        <s v="15-414-002"/>
        <s v="15-414-003"/>
        <s v="15-415-001"/>
        <s v="15-415-002"/>
        <s v="15-415-003"/>
        <s v="15-415-004"/>
        <s v="15-415-005"/>
        <s v="15-415-006"/>
        <s v="15-415-007"/>
        <s v="15-415-008"/>
        <s v="15-415-009"/>
        <s v="15-415-010"/>
        <s v="15-416-001"/>
        <s v="15-416-003"/>
        <s v="15-416-004"/>
        <s v="15-416-005"/>
        <s v="15-417-001"/>
        <s v="15-417-002"/>
        <s v="15-418-001"/>
        <s v="15-418-002"/>
        <s v="15-418-003"/>
        <s v="15-418-004"/>
        <s v="15-418-005"/>
        <s v="15-418-006"/>
        <s v="15-419-001"/>
        <s v="15-419-002"/>
        <s v="15-419-003"/>
        <s v="15-419-004"/>
        <s v="15-419-005"/>
        <s v="15-419-006"/>
        <s v="15-421-001"/>
        <s v="15-421-002"/>
        <s v="15-421-003"/>
        <s v="15-421-004"/>
        <s v="15-421-005"/>
        <s v="15-422-001"/>
        <s v="15-424-001"/>
        <s v="15-424-002"/>
        <s v="15-424-003"/>
        <s v="15-424-005"/>
        <s v="15-424-006"/>
        <s v="15-425-001"/>
        <s v="15-425-002"/>
        <s v="15-425-003"/>
        <s v="15-425-004"/>
        <s v="15-425-005"/>
        <s v="15-425-007"/>
        <s v="15-425-008"/>
        <s v="15-425-009"/>
        <s v="16-011-001"/>
        <s v="16-019-001"/>
        <s v="16-021-001"/>
        <s v="16-023-001"/>
        <s v="16-023-002"/>
        <s v="16-030-001"/>
        <s v="16-030-002"/>
        <s v="16-036-001"/>
        <s v="16-036-002"/>
        <s v="16-036-003"/>
        <s v="16-036-004"/>
        <s v="16-101-001"/>
        <s v="16-112-001"/>
        <s v="16-112-002"/>
        <s v="16-112-003"/>
        <s v="16-112-004"/>
        <s v="16-112-005"/>
        <s v="16-112-006"/>
        <s v="16-114-001"/>
        <s v="16-131-001"/>
        <s v="16-202-001"/>
        <s v="16-202-002"/>
        <s v="16-204-002"/>
        <s v="16-212-001"/>
        <s v="16-401-001"/>
        <s v="16-402-001"/>
        <s v="16-404-001"/>
        <s v="16-404-002"/>
        <s v="16-404-003"/>
        <s v="16-405-001"/>
        <s v="16-406-001"/>
        <s v="16-406-002"/>
        <s v="16-409-001"/>
        <s v="16-409-002"/>
        <s v="16-409-003"/>
        <s v="16-409-004"/>
        <s v="16-409-005"/>
        <s v="16-410-001"/>
        <s v="16-410-002"/>
        <s v="16-410-003"/>
        <s v="16-410-004"/>
        <s v="16-410-005"/>
        <s v="16-410-006"/>
        <s v="16-410-007"/>
        <s v="16-410-008"/>
        <s v="16-410-009"/>
        <s v="16-410-010"/>
        <s v="16-411-001"/>
        <s v="16-411-002"/>
        <s v="16-411-003"/>
        <s v="16-411-004"/>
        <s v="16-411-005"/>
        <s v="16-411-006"/>
        <s v="16-412-001"/>
        <s v="16-412-002"/>
        <s v="16-412-003"/>
        <s v="16-412-004"/>
        <s v="16-412-005"/>
        <s v="16-413-001"/>
        <s v="16-413-002"/>
        <s v="16-414-001"/>
        <s v="16-415-001"/>
        <s v="16-415-002"/>
        <s v="16-415-003"/>
        <s v="16-415-004"/>
        <s v="16-416-001"/>
        <s v="16-416-002"/>
        <s v="16-417-001"/>
        <s v="16-417-002"/>
        <s v="16-417-003"/>
        <s v="16-418-001"/>
        <s v="16-419-001"/>
        <s v="16-419-002"/>
        <s v="16-419-003"/>
        <s v="16-419-004"/>
        <s v="16-419-005"/>
        <s v="16-420-001"/>
        <s v="16-420-002"/>
        <s v="16-420-003"/>
        <s v="16-420-004"/>
        <s v="16-421-001"/>
        <s v="16-421-002"/>
        <s v="16-421-003"/>
        <s v="16-421-004"/>
        <s v="16-422-001"/>
        <s v="16-422-002"/>
        <s v="16-424-001"/>
        <s v="17-008-001"/>
        <s v="17-008-002"/>
        <s v="17-019-001"/>
        <s v="17-019-002"/>
        <s v="17-020-001"/>
        <s v="17-020-002"/>
        <s v="17-020-003"/>
        <s v="17-021-001"/>
        <s v="17-023-001"/>
        <s v="17-023-004"/>
        <s v="17-036-001"/>
        <s v="17-036-002"/>
        <s v="17-036-003"/>
        <s v="17-101-001"/>
        <s v="17-122-001"/>
        <s v="17-130-001"/>
        <s v="17-201-001"/>
        <s v="17-202-001"/>
        <s v="17-205-005"/>
        <s v="17-206-001"/>
        <s v="17-217-001"/>
        <s v="17-401-001"/>
        <s v="17-401-002"/>
        <s v="17-401-003"/>
        <s v="17-403-001"/>
        <s v="17-404-001"/>
        <s v="17-404-002"/>
        <s v="17-404-003"/>
        <s v="17-405-001"/>
        <s v="17-405-002"/>
        <s v="17-406-001"/>
        <s v="17-406-002"/>
        <s v="17-408-001"/>
        <s v="17-408-002"/>
        <s v="17-408-003"/>
        <s v="17-408-004"/>
        <s v="17-408-005"/>
        <s v="17-409-001"/>
        <s v="17-409-002"/>
        <s v="17-409-003"/>
        <s v="17-409-004"/>
        <s v="17-410-001"/>
        <s v="17-410-002"/>
        <s v="17-410-003"/>
        <s v="17-410-004"/>
        <s v="17-410-005"/>
        <s v="17-410-006"/>
        <s v="17-410-007"/>
        <s v="17-410-008"/>
        <s v="17-411-001"/>
        <s v="17-411-002"/>
        <s v="17-411-003"/>
        <s v="17-411-004"/>
        <s v="17-411-005"/>
        <s v="17-411-006"/>
        <s v="17-411-007"/>
        <s v="17-411-008"/>
        <s v="17-411-009"/>
        <s v="17-411-010"/>
        <s v="17-411-011"/>
        <s v="17-412-001"/>
        <s v="17-413-001"/>
        <s v="17-413-002"/>
        <s v="17-413-003"/>
        <s v="17-414-001"/>
        <s v="17-414-002"/>
        <s v="17-414-003"/>
        <s v="17-415-001"/>
        <s v="17-416-001"/>
        <s v="17-417-001"/>
        <s v="17-419-001"/>
        <s v="17-420-001"/>
        <s v="17-421-001"/>
        <s v="17-421-002"/>
        <s v="17-421-003"/>
        <s v="17-421-004"/>
        <s v="17-421-005"/>
        <s v="17-421-006"/>
        <s v="17-424-001"/>
        <s v="17-424-002"/>
        <s v="17-425-001"/>
        <s v="17-425-002"/>
        <s v="17-425-003"/>
        <s v="18-019-001"/>
        <s v="18-019-002"/>
        <s v="18-019-003"/>
        <s v="18-019-004"/>
        <s v="18-019-005"/>
        <s v="18-020-001"/>
        <s v="18-020-002"/>
        <s v="18-020-003"/>
        <s v="18-020-004"/>
        <s v="18-020-005"/>
        <s v="18-021-001"/>
        <s v="18-021-002"/>
        <s v="18-021-003"/>
        <s v="18-021-004"/>
        <s v="18-021-005"/>
        <s v="18-021-006"/>
        <s v="18-021-007"/>
        <s v="18-024-001"/>
        <s v="18-024-002"/>
        <s v="18-026-001"/>
        <s v="18-026-002"/>
        <s v="18-028-001"/>
        <s v="18-030-001"/>
        <s v="18-036-001"/>
        <s v="18-036-002"/>
        <s v="18-036-003"/>
        <s v="18-036-004"/>
        <s v="18-036-005"/>
        <s v="18-036-006"/>
        <s v="18-036-007"/>
        <s v="18-036-008"/>
        <s v="18-036-009"/>
        <s v="18-036-010"/>
        <s v="18-036-011"/>
        <s v="18-036-012"/>
        <s v="18-101-001"/>
        <s v="18-101-002"/>
        <s v="18-101-003"/>
        <s v="18-102-001"/>
        <s v="18-103-001"/>
        <s v="18-111-001"/>
        <s v="18-111-002"/>
        <s v="18-111-003"/>
        <s v="18-111-004"/>
        <s v="18-111-005"/>
        <s v="18-111-006"/>
        <s v="18-111-007"/>
        <s v="18-111-008"/>
        <s v="18-112-001"/>
        <s v="18-112-002"/>
        <s v="18-112-003"/>
        <s v="18-112-004"/>
        <s v="18-122-001"/>
        <s v="18-129-001"/>
        <s v="18-129-002"/>
        <s v="18-129-003"/>
        <s v="18-130-001"/>
        <s v="18-132-001"/>
        <s v="18-133-001"/>
        <s v="18-202-001"/>
        <s v="18-202-002"/>
        <s v="18-202-003"/>
        <s v="18-202-004"/>
        <s v="18-202-005"/>
        <s v="18-202-006"/>
        <s v="18-202-007"/>
        <s v="18-202-008"/>
        <s v="18-203-001"/>
        <s v="18-204-001"/>
        <s v="18-204-002"/>
        <s v="18-204-003"/>
        <s v="18-204-004"/>
        <s v="18-204-005"/>
        <s v="18-204-006"/>
        <s v="18-204-007"/>
        <s v="18-204-008"/>
        <s v="18-204-009"/>
        <s v="18-204-010"/>
        <s v="18-204-011"/>
        <s v="18-204-012"/>
        <s v="18-204-013"/>
        <s v="18-204-014"/>
        <s v="18-204-015"/>
        <s v="18-204-017"/>
        <s v="18-204-018"/>
        <s v="18-205-006"/>
        <s v="18-205-007"/>
        <s v="18-401-001"/>
        <s v="18-401-002"/>
        <s v="18-401-003"/>
        <s v="18-401-004"/>
        <s v="18-401-005"/>
        <s v="18-403-001"/>
        <s v="18-404-001"/>
        <s v="18-404-002"/>
        <s v="18-404-003"/>
        <s v="18-404-004"/>
        <s v="18-404-005"/>
        <s v="18-404-006"/>
        <s v="18-404-007"/>
        <s v="18-405-001"/>
        <s v="18-406-001"/>
        <s v="18-406-002"/>
        <s v="18-406-003"/>
        <s v="18-406-004"/>
        <s v="18-407-001"/>
        <s v="18-407-002"/>
        <s v="18-408-001"/>
        <s v="18-409-001"/>
        <s v="18-409-002"/>
        <s v="18-409-003"/>
        <s v="18-409-004"/>
        <s v="18-409-005"/>
        <s v="18-410-001"/>
        <s v="18-410-002"/>
        <s v="18-410-003"/>
        <s v="18-410-004"/>
        <s v="18-410-005"/>
        <s v="18-410-006"/>
        <s v="18-410-007"/>
        <s v="18-410-008"/>
        <s v="18-410-009"/>
        <s v="18-410-010"/>
        <s v="18-410-011"/>
        <s v="18-410-012"/>
        <s v="18-411-001"/>
        <s v="18-411-002"/>
        <s v="18-411-003"/>
        <s v="18-411-004"/>
        <s v="18-411-005"/>
        <s v="18-411-006"/>
        <s v="18-411-007"/>
        <s v="18-411-008"/>
        <s v="18-411-009"/>
        <s v="18-412-001"/>
        <s v="18-412-002"/>
        <s v="18-412-003"/>
        <s v="18-412-004"/>
        <s v="18-412-005"/>
        <s v="18-413-001"/>
        <s v="18-413-002"/>
        <s v="18-414-001"/>
        <s v="18-414-002"/>
        <s v="18-415-001"/>
        <s v="18-416-001"/>
        <s v="18-416-002"/>
        <s v="18-416-003"/>
        <s v="18-417-001"/>
        <s v="18-417-002"/>
        <s v="18-417-003"/>
        <s v="18-417-004"/>
        <s v="18-418-001"/>
        <s v="18-418-002"/>
        <s v="18-418-003"/>
        <s v="18-418-004"/>
        <s v="18-418-005"/>
        <s v="18-419-001"/>
        <s v="18-419-002"/>
        <s v="18-419-003"/>
        <s v="18-419-004"/>
        <s v="18-419-005"/>
        <s v="18-419-006"/>
        <s v="18-419-007"/>
        <s v="18-419-008"/>
        <s v="18-419-009"/>
        <s v="18-420-001"/>
        <s v="18-420-002"/>
        <s v="18-420-003"/>
        <s v="18-420-004"/>
        <s v="18-420-005"/>
        <s v="18-420-006"/>
        <s v="18-420-007"/>
        <s v="18-421-001"/>
        <s v="18-421-002"/>
        <s v="18-421-003"/>
        <s v="18-421-004"/>
        <s v="18-421-005"/>
        <s v="18-421-006"/>
        <s v="18-422-001"/>
        <s v="18-422-002"/>
        <s v="18-422-003"/>
        <s v="18-423-001"/>
        <s v="18-424-001"/>
        <s v="18-424-002"/>
        <s v="18-424-003"/>
        <s v="18-424-004"/>
        <s v="18-425-001"/>
        <s v="18-425-002"/>
        <s v="19-009-001"/>
        <s v="19-019-001"/>
        <s v="19-019-002"/>
        <s v="19-019-003"/>
        <s v="19-020-001"/>
        <s v="19-020-002"/>
        <s v="19-020-003"/>
        <s v="19-403-002"/>
        <s v="19-021-002"/>
        <s v="19-023-001"/>
        <s v="19-023-002"/>
        <s v="19-026-001"/>
        <s v="19-026-002"/>
        <s v="19-026-003"/>
        <s v="19-030-001"/>
        <s v="19-030-002"/>
        <s v="19-034-001"/>
        <s v="19-036-001"/>
        <s v="19-036-002"/>
        <s v="19-036-003"/>
        <s v="19-036-004"/>
        <s v="19-036-005"/>
        <s v="19-036-006"/>
        <s v="19-036-007"/>
        <s v="19-036-008"/>
        <s v="19-036-009"/>
        <s v="19-101-001"/>
        <s v="19-103-001"/>
        <s v="19-111-001"/>
        <s v="19-111-002"/>
        <s v="19-111-003"/>
        <s v="19-111-004"/>
        <s v="19-111-005"/>
        <s v="19-111-006"/>
        <s v="19-111-007"/>
        <s v="19-111-008"/>
        <s v="19-111-009"/>
        <s v="19-111-010"/>
        <s v="19-111-011"/>
        <s v="19-111-012"/>
        <s v="19-111-013"/>
        <s v="19-111-014"/>
        <s v="19-112-001"/>
        <s v="19-118-001"/>
        <s v="19-121-001"/>
        <s v="19-126-001"/>
        <s v="19-126-002"/>
        <s v="19-126-003"/>
        <s v="19-126-004"/>
        <s v="19-128-001"/>
        <s v="19-128-002"/>
        <s v="19-130-001"/>
        <s v="19-202-001"/>
        <s v="19-202-002"/>
        <s v="19-202-003"/>
        <s v="19-204-002"/>
        <s v="19-204-003"/>
        <s v="19-204-005"/>
        <s v="19-204-006"/>
        <s v="19-204-007"/>
        <s v="19-204-008"/>
        <s v="19-204-009"/>
        <s v="19-204-010"/>
        <s v="19-204-011"/>
        <s v="19-204-012"/>
        <s v="19-204-013"/>
        <s v="19-204-014"/>
        <s v="19-205-008"/>
        <s v="19-205-009"/>
        <s v="19-205-010"/>
        <s v="19-213-001"/>
        <s v="19-402-001"/>
        <s v="19-402-002"/>
        <s v="19-403-001"/>
        <s v="19-404-001"/>
        <s v="19-404-002"/>
        <s v="19-404-003"/>
        <s v="19-404-004"/>
        <s v="19-404-005"/>
        <s v="19-404-006"/>
        <s v="19-404-007"/>
        <s v="19-404-008"/>
        <s v="19-404-009"/>
        <s v="19-404-010"/>
        <s v="19-405-001"/>
        <s v="19-405-002"/>
        <s v="19-405-003"/>
        <s v="19-405-004"/>
        <s v="19-405-005"/>
        <s v="19-405-007"/>
        <s v="19-406-001"/>
        <s v="19-407-001"/>
        <s v="19-408-001"/>
        <s v="19-408-002"/>
        <s v="19-409-001"/>
        <s v="19-409-002"/>
        <s v="19-410-001"/>
        <s v="19-410-002"/>
        <s v="19-410-003"/>
        <s v="19-410-004"/>
        <s v="19-411-001"/>
        <s v="19-412-001"/>
        <s v="19-412-002"/>
        <s v="19-412-003"/>
        <s v="19-412-004"/>
        <s v="19-412-005"/>
        <s v="19-413-001"/>
        <s v="19-413-002"/>
        <s v="19-413-003"/>
        <s v="19-414-001"/>
        <s v="19-414-002"/>
        <s v="19-414-003"/>
        <s v="19-414-004"/>
        <s v="19-414-005"/>
        <s v="19-414-006"/>
        <s v="19-414-007"/>
        <s v="19-414-008"/>
        <s v="19-414-009"/>
        <s v="19-415-001"/>
        <s v="19-415-002"/>
        <s v="19-416-001"/>
        <s v="19-417-001"/>
        <s v="19-417-002"/>
        <s v="19-418-001"/>
        <s v="19-418-002"/>
        <s v="19-418-003"/>
        <s v="19-418-004"/>
        <s v="19-418-005"/>
        <s v="19-418-006"/>
        <s v="19-418-007"/>
        <s v="19-419-001"/>
        <s v="19-419-002"/>
        <s v="19-420-002"/>
        <s v="19-420-003"/>
        <s v="19-421-001"/>
        <s v="19-421-002"/>
        <s v="19-421-003"/>
        <s v="19-422-001"/>
        <s v="19-422-002"/>
        <s v="19-423-001"/>
        <s v="19-423-002"/>
        <s v="19-424-001"/>
        <s v="19-424-002"/>
        <s v="19-424-003"/>
        <s v="19-425-001"/>
        <s v="19-425-002"/>
        <s v="19-425-003"/>
        <s v="20-111-001"/>
        <s v="20-205-001"/>
        <s v="20-205-002"/>
        <s v="20-205-003"/>
        <s v="20-205-004"/>
        <s v="20-415-001"/>
        <s v="20-418-001"/>
        <s v="20-418-002"/>
        <s v="20-418-003"/>
        <s v="20-421-001"/>
        <s v="20-425-001"/>
        <s v="20-425-002"/>
        <s v="19-021-001" u="1"/>
      </sharedItems>
    </cacheField>
    <cacheField name="연번_x000a_(윤한홍)" numFmtId="0">
      <sharedItems containsSemiMixedTypes="0" containsString="0" containsNumber="1" containsInteger="1" minValue="1" maxValue="1084"/>
    </cacheField>
    <cacheField name="설치년도" numFmtId="0">
      <sharedItems containsSemiMixedTypes="0" containsString="0" containsNumber="1" containsInteger="1" minValue="2007" maxValue="2020" count="14"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준공월" numFmtId="0">
      <sharedItems containsSemiMixedTypes="0" containsString="0" containsNumber="1" containsInteger="1" minValue="1" maxValue="12"/>
    </cacheField>
    <cacheField name="관리부서" numFmtId="0">
      <sharedItems count="104">
        <s v="여성권익담당관"/>
        <s v="인력개발과"/>
        <s v="인재개발원"/>
        <s v="동부공원녹지사업소"/>
        <s v="아동복지센터"/>
        <s v="서울시설공단"/>
        <s v="서울주택도시공사"/>
        <s v="성북구"/>
        <s v="어르신복지과"/>
        <s v="인생이모작지원과"/>
        <s v="농업기술센터"/>
        <s v="중랑물재생센터"/>
        <s v="서북병원"/>
        <s v="광진구"/>
        <s v="도봉구"/>
        <s v="마포구"/>
        <s v="구로구"/>
        <s v="영등포구"/>
        <s v="관악구"/>
        <s v="여성정책담당관"/>
        <s v="도시철도과"/>
        <s v="자원순환과"/>
        <s v="총무과"/>
        <s v="청소년정책과"/>
        <s v="보건환경연구원"/>
        <s v="영등포아리수정수센터"/>
        <s v="한강사업본부"/>
        <s v="체육시설관리사업소"/>
        <s v="서부도로사업소"/>
        <s v="중부공원녹지사업소"/>
        <s v="서부공원녹지사업소"/>
        <s v="농수산식품공사"/>
        <s v="서울에너지공사"/>
        <s v="종로구"/>
        <s v="용산구"/>
        <s v="동대문구"/>
        <s v="중랑구"/>
        <s v="강북구"/>
        <s v="노원구"/>
        <s v="은평구"/>
        <s v="서대문구"/>
        <s v="금천구"/>
        <s v="동작구"/>
        <s v="서초구"/>
        <s v="강남구"/>
        <s v="송파구"/>
        <s v="강동구"/>
        <s v="평생교육과"/>
        <s v="보건의료정책과"/>
        <s v="소방재난본부"/>
        <s v="서울시립대학교"/>
        <s v="난지물재생센터"/>
        <s v="서울대공원"/>
        <s v="서울시의회"/>
        <s v="중구"/>
        <s v="성동구"/>
        <s v="양천구"/>
        <s v="성동도로사업소"/>
        <s v="서울의료원"/>
        <s v="환경시민협력과"/>
        <s v="주택정책과"/>
        <s v="어린이병원"/>
        <s v="강서도로사업소"/>
        <s v="동부도로사업소"/>
        <s v="북부도로사업소"/>
        <s v="강서구"/>
        <s v="서울시립미술관"/>
        <s v="서울식물원"/>
        <s v="서울디자인재단"/>
        <s v="장애인자립지원과"/>
        <s v="장애인복지정책과"/>
        <s v="녹색에너지과"/>
        <s v="가족담당관"/>
        <s v="뚝도아리수정수센터"/>
        <s v="한성백제박물관"/>
        <s v="스마트도시담당관"/>
        <s v="경제정책과"/>
        <s v="생활환경과"/>
        <s v="주거환경개선과"/>
        <s v="데이터센터"/>
        <s v="서울시립과학관"/>
        <s v="서울시복지재단"/>
        <s v="일자리정책과"/>
        <s v="투자창업과"/>
        <s v="서울교통공사"/>
        <s v="서울평생교육진흥원"/>
        <s v="거점성장추진단"/>
        <s v="자활지원과"/>
        <s v="버스정책과"/>
        <s v="강북아리수정수센터"/>
        <s v="암사아리수정수센터"/>
        <s v="광암아리수정수센터"/>
        <s v="구의아리수정수센터"/>
        <s v="남부수도사업소"/>
        <s v="서울기록원"/>
        <s v="노동정책담당관"/>
        <s v="하천관리과"/>
        <s v="서부수도사업소"/>
        <s v="강서수도사업소"/>
        <s v="뚝도아리수정수센터 "/>
        <s v="서울역사박물관"/>
        <s v="남부도로사업소"/>
        <s v="서울문화재단"/>
        <s v="강동구 "/>
      </sharedItems>
    </cacheField>
    <cacheField name="개소명" numFmtId="0">
      <sharedItems count="1075">
        <s v="여성보호센터"/>
        <s v="서천연수원"/>
        <s v="다솜관"/>
        <s v="서울숲식물원(곤충식물원)"/>
        <s v="아동복지센터"/>
        <s v="청계천유지용수"/>
        <s v="상림마을7-1단지(은평1-9,은평뉴타운상림마을)"/>
        <s v="성북장애인복지관"/>
        <s v="서부노인전문요양센터"/>
        <s v="서대문노인종합복지관"/>
        <s v="수안보연수원"/>
        <s v="농업기술센터"/>
        <s v="중랑물재생센터(1)"/>
        <s v="서북병원"/>
        <s v="중곡1동어린이집"/>
        <s v="중앙어린이집"/>
        <s v="도봉환경교실(발바닥공원)"/>
        <s v="마포구종합청사"/>
        <s v="고척근린공원"/>
        <s v="취업정보센터"/>
        <s v="관악구종합청사(1)"/>
        <s v="서울여성플라자"/>
        <s v="김포차량기지"/>
        <s v="마포주민편익시설"/>
        <s v="서소문청사 1동(1)"/>
        <s v="서소문청사 2동(1)"/>
        <s v="강북청소년센터"/>
        <s v="성북청소년센터"/>
        <s v="보건환경연구원 본관 연구동"/>
        <s v="배움관"/>
        <s v="영등포아리수센터"/>
        <s v="뚝섬안내센터(옥상)"/>
        <s v="망원안내센터"/>
        <s v="반포안내센터"/>
        <s v="양화안내센터"/>
        <s v="이촌안내센터"/>
        <s v="잠실안내센터"/>
        <s v="잠원안내센터"/>
        <s v="광나루안내센터(1)"/>
        <s v="잠실실내체육관"/>
        <s v="서부도로사업소"/>
        <s v="북서울꿈의숲(주차장)"/>
        <s v="서울창포원"/>
        <s v="월드컵공원(노을주차장 주변)"/>
        <s v="선유도안내센터"/>
        <s v="평화의주차장 파고라"/>
        <s v="서서울호수공원"/>
        <s v="강서공영차고지"/>
        <s v="서울시농수산식품공사(친환경농산물급식유통센터)"/>
        <s v="월계사슴1단지"/>
        <s v="중계3단지"/>
        <s v="가양4단지"/>
        <s v="가양5단지"/>
        <s v="공릉1단지"/>
        <s v="방화11단지"/>
        <s v="방화2-1단지"/>
        <s v="서울에너지공사(본관)"/>
        <s v="무악어린이집"/>
        <s v="삼청동주민센터"/>
        <s v="종로노인복지관(별관)"/>
        <s v="종로종합사회복지관"/>
        <s v="청운어린이집"/>
        <s v="평창동주민센터"/>
        <s v="효창종합사회복지관"/>
        <s v="중곡종합사회복지관"/>
        <s v="중곡1동제2경로당"/>
        <s v="중곡동다목적체육센터및도서관"/>
        <s v="동대문구체육관"/>
        <s v="신내노인종합복지관"/>
        <s v="성북근린공원"/>
        <s v="정릉종합사회복지관(1)"/>
        <s v="아리랑시네센터"/>
        <s v="수유2동어린이집"/>
        <s v="도봉구시설관리공단"/>
        <s v="도봉문화정보도서관"/>
        <s v="공릉어린이집"/>
        <s v="하계어린이집"/>
        <s v="노원마들스터디움"/>
        <s v="갈현2동주민센터"/>
        <s v="남가좌2동주민센터"/>
        <s v="서대문문화체육회관"/>
        <s v="서대문보건소"/>
        <s v="자연사박물관"/>
        <s v="홍제천 안산가압장"/>
        <s v="서대문구 노인종합복지관"/>
        <s v="마포점자도서관"/>
        <s v="망원청소년독서실"/>
        <s v="샘물어린이집"/>
        <s v="쌈지경로당"/>
        <s v="와우산배드민턴장"/>
        <s v="마포청소년문화의집"/>
        <s v="화원종합복지관"/>
        <s v="고척2동주민센터"/>
        <s v="구로구청(1)"/>
        <s v="구일어린이집"/>
        <s v="금천구민문화체육센터"/>
        <s v="독산빗물펌프장"/>
        <s v="금천노인종합복지관"/>
        <s v="신길종합사회복지관"/>
        <s v="영등포구민체육센터"/>
        <s v="영등포구청사"/>
        <s v="영등포청소년문화의집"/>
        <s v="동작문화복지센터"/>
        <s v="관악구민종합체육센터(1)"/>
        <s v="선봉어린이집"/>
        <s v="한우리정보문화센터"/>
        <s v="서초구청사보건소"/>
        <s v="도곡2문화센터"/>
        <s v="삼성1동문화센터"/>
        <s v="잠실3동자치회관"/>
        <s v="강동자원종합순환센터"/>
        <s v="서울시제3영어마을"/>
        <s v="문래청소년센터"/>
        <s v="서남병원"/>
        <s v="보라매안전체험관(제2시민안전체험관)"/>
        <s v="21세기관 태양광 발전설비"/>
        <s v="창의관"/>
        <s v="2정수 활성탄흡착지동"/>
        <s v="난지물재생센터주차장(고양시)"/>
        <s v="서울대공원종합관리사무소"/>
        <s v="중랑캠핑숲(관리사무소,세척장)"/>
        <s v="동부이촌지하차도"/>
        <s v="어린이대공원 식물원"/>
        <s v="어린이대공원 코끼리사"/>
        <s v="어린이대공원동물사"/>
        <s v="어린이대공원바다동물관"/>
        <s v="어린이대공원화장실 3개소"/>
        <s v="대치1단지"/>
        <s v="동작SHVille(상도)"/>
        <s v="면목단지"/>
        <s v="수서1단지"/>
        <s v="수서6단지"/>
        <s v="신내10단지"/>
        <s v="신내12단지"/>
        <s v="신정학마을2단지"/>
        <s v="신트리2단지"/>
        <s v="월계사슴2단지"/>
        <s v="관악드림타운단지"/>
        <s v="시의회청사"/>
        <s v="종로구육아종합지원센터"/>
        <s v="신당구립도서관"/>
        <s v="충무아트홀"/>
        <s v="장충동주민센터"/>
        <s v="용산구종합행정타운"/>
        <s v="효창동 주민자치센터"/>
        <s v="청파동주민자치센터"/>
        <s v="응봉빗물펌프장"/>
        <s v="옥수빗물펌프장"/>
        <s v="뚝섬빗물펌프장(1)"/>
        <s v="자양4동주민센터"/>
        <s v="능동경로당"/>
        <s v="자양4빗물펌프장"/>
        <s v="중곡4동주민센터"/>
        <s v="화양동주민센터"/>
        <s v="장애인재활작업장"/>
        <s v="신답빗물펌프장"/>
        <s v="휘경1동주민센터"/>
        <s v="구립동대문청소년독서실"/>
        <s v="용두빗물펌프장"/>
        <s v="장안4빗물펌프장"/>
        <s v="성북구민체육관"/>
        <s v="장위3동어린이집"/>
        <s v="수유1동 복합청사"/>
        <s v="공릉빗물펌프장1호기"/>
        <s v="공릉1,3동주민센터"/>
        <s v="공릉2동주민센터"/>
        <s v="노원구청별관1,2호기"/>
        <s v="보람어린이집"/>
        <s v="시립중계노인전문요양원"/>
        <s v="역촌동주민센터"/>
        <s v="은평구청사"/>
        <s v="은평실개천유수펌프"/>
        <s v="신사1동 주민자치센터"/>
        <s v="진관동주민센터"/>
        <s v="홍은종합사회복지관"/>
        <s v="빗물펌프장(난지)"/>
        <s v="빗물펌프장(당인)"/>
        <s v="빗물펌프장(마포)"/>
        <s v="빗물펌프장(망원2)"/>
        <s v="양천해누리타운"/>
        <s v="가산어린이집"/>
        <s v="개미어린이집"/>
        <s v="새길어린이집"/>
        <s v="옥계어린이집"/>
        <s v="대림1동주민센터"/>
        <s v="문래빗물펌프장"/>
        <s v="영등포보건분소"/>
        <s v="문래청소년수련관"/>
        <s v="동작구의회"/>
        <s v="문성어린이집"/>
        <s v="서원어린이집"/>
        <s v="서초구민체육센터"/>
        <s v="강남시니어프라자"/>
        <s v="탄천∙양재천 방문자센터"/>
        <s v="역삼재가데이케어센터"/>
        <s v="거여2동주민센터"/>
        <s v="송파어린이전용복합문화시설"/>
        <s v="강일동복합청사"/>
        <s v="천호1동주민센터"/>
        <s v="강동아트센터(1)"/>
        <s v="강동그린나래복지센터"/>
        <s v="일자산제1체육관"/>
        <s v="SR센터"/>
        <s v="노원자원회수시설"/>
        <s v="광진청소년센터"/>
        <s v="국제학사 태양광 발전설비"/>
        <s v="보건환경연구원 신관"/>
        <s v="중랑물재생센터(2)"/>
        <s v="성동도로사업소차고지"/>
        <s v="천왕역환승센터"/>
        <s v="목동2차우성단지"/>
        <s v="행당대림단지"/>
        <s v="행당한진단지"/>
        <s v="길음뉴타운3차"/>
        <s v="서울의료원 1"/>
        <s v="혜화동자치회관"/>
        <s v="구의3동신청사(구의3동주민센터)"/>
        <s v="중곡종합건강센터(광진구보건지소)"/>
        <s v="동대문구정보화도서관"/>
        <s v="강북구육아종합지원센터"/>
        <s v="중계2,3동공공복합청사"/>
        <s v="월계동보건문화복합청사(월계헬스케어센터)"/>
        <s v="하계2동주민센터"/>
        <s v="노원에코센터"/>
        <s v="꿈나무마을"/>
        <s v="갈현노인복지센터"/>
        <s v="서대문구청제4별관"/>
        <s v="마포복지종합지원센터"/>
        <s v="독산3동주민센터"/>
        <s v="금천구 종합청사 1"/>
        <s v="영등포동주민센터"/>
        <s v="신대방역공중화장실"/>
        <s v="금빛어린이집"/>
        <s v="인헌동주민센터"/>
        <s v="강남구청직장어린이집"/>
        <s v="방이동생태학습관"/>
        <s v="송파체육문화회관"/>
        <s v="잠실빗물펌프장관사동"/>
        <s v="성내1동 경로당"/>
        <s v="명일동 공영주차장"/>
        <s v="서울에너지드림센터"/>
        <s v="신청사"/>
        <s v="강동청소년센터"/>
        <s v="목동현대A"/>
        <s v="광진소방서청사"/>
        <s v="강북소방서청사"/>
        <s v="어린이병원건물(동관 옥상1)"/>
        <s v="잠실제1수영장"/>
        <s v="강서도로사업소차고지옥상"/>
        <s v="동부도로사업소"/>
        <s v="구기터널관리사무소"/>
        <s v="개화역광역환승센터"/>
        <s v="서울추모공원"/>
        <s v="서울상상나라(서울어린이대공원)"/>
        <s v="관악벽산블루밍"/>
        <s v="목동현대B"/>
        <s v="미아벽산"/>
        <s v="신정삼성"/>
        <s v="중림삼성"/>
        <s v="서울특별시의회본관"/>
        <s v="종로장애인복지관 및 푸르메재활센터"/>
        <s v="중림복합시설"/>
        <s v="성수문화복지회관"/>
        <s v="왕십리어린이집"/>
        <s v="광진정보도서관"/>
        <s v="능동주민센터"/>
        <s v="홍릉문화복지센터"/>
        <s v="석관동주민센터"/>
        <s v="노원마들스터디움2차"/>
        <s v="한내어린이집"/>
        <s v="북가좌1동주민센터"/>
        <s v="서대문지역자활센터"/>
        <s v="가로공원주차장"/>
        <s v="신월4동주민센터"/>
        <s v="어린이교통공원"/>
        <s v="곰달래문화복지센터"/>
        <s v="대림3동주민센터"/>
        <s v="신길5동주민센터"/>
        <s v="영등포그린&amp;케어센터"/>
        <s v="복은어린이집"/>
        <s v="반포4동주민센터"/>
        <s v="서초2동주민센터"/>
        <s v="도곡1문화센터"/>
        <s v="송파실벗뜨락"/>
        <s v="송파여성문화회관"/>
        <s v="암사2동주민센터"/>
        <s v="강동구민회관"/>
        <s v="성내도서관"/>
        <s v="마포자원회수시설"/>
        <s v="차량지원실"/>
        <s v="화곡청소년센터"/>
        <s v="중랑청소년센터"/>
        <s v="목동119안전센터"/>
        <s v="구로구119안전센터"/>
        <s v="학생회관 태양광 발전설비(1)"/>
        <s v="법학관 태양광 발전설비"/>
        <s v="정보기술관 태양광 발전설비"/>
        <s v="제2공학관 태양광 발전설비"/>
        <s v="조형관 태양광 발전설비"/>
        <s v="중앙도서관 태양광 발전설비"/>
        <s v="난지안내센터"/>
        <s v="서울시립북서울미술관"/>
        <s v="잠실야구장3루측지붕"/>
        <s v="서울대공원 오수처리장"/>
        <s v="푸른수목원"/>
        <s v="글로벌센터"/>
        <s v="도봉산역환승센터"/>
        <s v="서울월드컵경기장"/>
        <s v="길음뉴타운4단지"/>
        <s v="북한산래미안"/>
        <s v="북한산힐스테이트3차"/>
        <s v="서울디자인재단(DDP) 동대문디자인플라자"/>
        <s v="서울시의회옥상"/>
        <s v="구립한남노인요양원"/>
        <s v="왕십리도선동 주민센터"/>
        <s v="휘경2동주민센터"/>
        <s v="성북정보화도서관"/>
        <s v="성북나눔발전소1호 (성북구의회)"/>
        <s v="미아동 복합청사"/>
        <s v="번동햇살공영주차장"/>
        <s v="음식물중간처리장(1)"/>
        <s v="구산보건지소"/>
        <s v="다목적체육관"/>
        <s v="홍은청소년문화의집"/>
        <s v="마포구종합행정타운"/>
        <s v="신정3동현장민원실"/>
        <s v="오금빗물펌프장"/>
        <s v="신월5동주민센터"/>
        <s v="신정1동주민센터"/>
        <s v="까치산시장 고객지원센터"/>
        <s v="남부골목시장 고객지원센터"/>
        <s v="송화벽화시장 고객지원센터"/>
        <s v="발산1동주민센터"/>
        <s v="강서구립 해바라기어린이집"/>
        <s v="궁동종합사회복지관"/>
        <s v="구로구민회관"/>
        <s v="금천종합복지타운"/>
        <s v="금천호암노인종합복지관"/>
        <s v="금천구 종합청사 2"/>
        <s v="안양천 공중화장실(4개소)"/>
        <s v="독산배드민턴체육관"/>
        <s v="시흥경로당 새재미마을에너지사랑방"/>
        <s v="사당솔밭도서관"/>
        <s v="남현동복합청사"/>
        <s v="관악청소년회관"/>
        <s v="조원동복합청사"/>
        <s v="방배열린문화센터"/>
        <s v="내곡동주민센터"/>
        <s v="반포종합사회복지관"/>
        <s v="대치2동주민센터"/>
        <s v="산모건강증진센터"/>
        <s v="어린이안전교육관"/>
        <s v="강동구보건소치매센타"/>
        <s v="강동구청 본관"/>
        <s v="성내1동주민센터"/>
        <s v="암사1동자치회관"/>
        <s v="빗살어린이집"/>
        <s v="노원시각장애인복지관"/>
        <s v="행복플러스보호작업장"/>
        <s v="문현중학교 태양광발전소"/>
        <s v="서울배봉초등학교 태양광발전소"/>
        <s v="서울유스호스텔"/>
        <s v="미아119안전센터"/>
        <s v="창동119안전센터"/>
        <s v="잠실119안전센터"/>
        <s v="개화119안전센터"/>
        <s v="백운119안전센터"/>
        <s v="수궁119안전센터"/>
        <s v="신정119안전센터"/>
        <s v="양재119안전센터"/>
        <s v="쌍문119안전센터"/>
        <s v="생활관 태양광 발전설비(1)"/>
        <s v="반포한강공원무지개분수"/>
        <s v="여의도샛강생태공원"/>
        <s v="여의도안내센터"/>
        <s v="신곡수중보"/>
        <s v="잠실수중보"/>
        <s v="목동야구장(운동장)"/>
        <s v="서울시농수산식품공사(1)"/>
        <s v="독립문극동"/>
        <s v="상도건영"/>
        <s v="하계학여울청구B"/>
        <s v="천왕동여성안심주택"/>
        <s v="무악동노인복지센터"/>
        <s v="훈련원공원내 종합체육관"/>
        <s v="성동구청사"/>
        <s v="금일경로당(대현경로복지관)"/>
        <s v="뚝섬실버문화센터"/>
        <s v="상원경로당"/>
        <s v="성수1가1동 경로당 2층 할머니방"/>
        <s v="동대문구답십리도서관"/>
        <s v="답십리2동주민센터"/>
        <s v="동대문종합사회복지관"/>
        <s v="제기동주민센터"/>
        <s v="오동공원배드민턴장"/>
        <s v="수유마을시장 공영주차장"/>
        <s v="도봉구청사(1)"/>
        <s v="건설자재창고"/>
        <s v="도봉동노인복지센터"/>
        <s v="창동노인복지센터"/>
        <s v="새동네어울누리(1)"/>
        <s v="도봉시민햇빛나눔발전소 1호기(도봉문화정보센터) "/>
        <s v="구립중계어린이집"/>
        <s v="공릉빗물펌프장2호기"/>
        <s v="초안산숲속작은도서관"/>
        <s v="노원구청본관"/>
        <s v="역사한옥박물관"/>
        <s v="충현동자치회관"/>
        <s v="홍은도담도서관"/>
        <s v="서교동주민센터"/>
        <s v="신월종합사회복지관"/>
        <s v="신월청소년문화센터"/>
        <s v="양천구민체육센터"/>
        <s v="양천구보건소"/>
        <s v="강서구청가양동별관"/>
        <s v="강서통합관제센터"/>
        <s v="구로구민체육센터"/>
        <s v="구로3동자치회관"/>
        <s v="구로청소년문화의집"/>
        <s v="온수동주민공동이용시설"/>
        <s v="금천구 종합청사"/>
        <s v="도담어린이집"/>
        <s v="시흥4동주민센터"/>
        <s v="시흥4동청소년독서실"/>
        <s v="영등포구청제2구민체육센터"/>
        <s v="동작구보육정보센터(동작구육아종합지원센터)"/>
        <s v="신림청소년독서실"/>
        <s v="중앙동주민자치센터"/>
        <s v="서초1동주민센터"/>
        <s v="강남구립행복요양병원"/>
        <s v="거여1동주민센터"/>
        <s v="석촌동주민센터"/>
        <s v="강동보훈회관"/>
        <s v="서울시립아동상담치료센터"/>
        <s v="수서중학교 태양광발전소"/>
        <s v="서울면동초등학교 태양광발전소"/>
        <s v="수도전기공업고등학교 태양광발전소"/>
        <s v="중랑공영차고지"/>
        <s v="서울청소년센터"/>
        <s v="구로소방서"/>
        <s v="은평소방서(1)"/>
        <s v="언무관 태양광 발전설비"/>
        <s v="뚝도정수장 여과지동"/>
        <s v="서울시어린이병원(동관 옥상2)"/>
        <s v="몽촌역사관"/>
        <s v="한성백제박물관"/>
        <s v="장충체육관"/>
        <s v="고척스카이돔"/>
        <s v="서울시농수산식품공사 강서지사(1)"/>
        <s v="서울시농수산식품공사(2)"/>
        <s v="지축차량기지 태양광 발전소"/>
        <s v="도봉차량기지 태양광 발전소"/>
        <s v="개화차량기지 태양광 발전소"/>
        <s v="고덕차량기지 태양광 발전소"/>
        <s v="종로구민회관"/>
        <s v="종로문화체육센터"/>
        <s v="창이어린이집"/>
        <s v="동화나라어린이집"/>
        <s v="중구구립도서관"/>
        <s v="필동주민센터"/>
        <s v="구립용산노인전문요양원"/>
        <s v="마장국민체육센터"/>
        <s v="마장축산물시장 서문 공영주차장"/>
        <s v="성수2가3동 공영주차장"/>
        <s v="성수근린공원"/>
        <s v="광진구 행정차고"/>
        <s v="광진구 행정차고지"/>
        <s v="용신동주민센터"/>
        <s v="장안종합사회복지관"/>
        <s v="전농2동주민센터"/>
        <s v="장영당길공영주차장"/>
        <s v="청량리동공영주차장"/>
        <s v="구립용마경로복지센터 "/>
        <s v="중랑구 망우본동 복합청사"/>
        <s v="안암동청사"/>
        <s v="오동근린배드민턴장"/>
        <s v="성북나눔발전소2호(장위빗물펌프장)"/>
        <s v="성북나눔발전소3호(개운산공원 생태체험교실)"/>
        <s v="성북나눔발전소4호 (길음환승주차장)"/>
        <s v="시네마빌딩 공영주차장"/>
        <s v="삼양어린이집"/>
        <s v="은모루경로당"/>
        <s v="구세군길공영주차장"/>
        <s v="송중동공영주차장"/>
        <s v="도봉기적의도서관"/>
        <s v="새동네어울누리(2)"/>
        <s v="쌍문1동주민센터"/>
        <s v="도봉햇빛나눔발전소 1호기(초안산 근린공원주차장)"/>
        <s v="초안산근린공원 관리사무소"/>
        <s v="방학1동경로당"/>
        <s v="장수경로당"/>
        <s v="초안산실내배드민턴장"/>
        <s v="서울시 상계2동 공공복합청사"/>
        <s v="로보카폴리어린이교통공원교육관"/>
        <s v="월계1동어린이집"/>
        <s v="노원고교앞방음벽"/>
        <s v="불암산스타디움"/>
        <s v="상계숲속작은도서관"/>
        <s v="중계행복어린이집"/>
        <s v="중랑천 물놀이장, 중랑천환경센터"/>
        <s v="구산동도서관마을"/>
        <s v="은평구의회"/>
        <s v="은평문화예술회관"/>
        <s v="신촌동자치회관"/>
        <s v="하하호호마을활력소"/>
        <s v="홍은1동자치회관"/>
        <s v="남가좌1동주민센터"/>
        <s v="남가좌제2동제1공용주차장"/>
        <s v="성산종합사회복지관"/>
        <s v="육아종합지원센터"/>
        <s v="마포구민체육센터1"/>
        <s v="양천구립 해바라기어린이집"/>
        <s v="목동실버복지문화센터"/>
        <s v="은행정어린이집"/>
        <s v="양천자원봉사센터"/>
        <s v="해맞이도서관"/>
        <s v="양천구의회"/>
        <s v="양화빗물펌프장"/>
        <s v="한아름어린이집"/>
        <s v="꿈나래어린이집"/>
        <s v="둥지어린이집"/>
        <s v="가양도서관"/>
        <s v="가양1동주민센터"/>
        <s v="강서구의회"/>
        <s v="공항동주민센터"/>
        <s v="구로보건소"/>
        <s v="구로희망 햇빛발전소(고척도서관)"/>
        <s v="독산4동 공영주차장"/>
        <s v="독산1동복지경로당"/>
        <s v="구립새롬어린이집"/>
        <s v="독산1동분소복지관(한내복지관)"/>
        <s v="가산정보도서관"/>
        <s v="금천구 시설관리공단 본부"/>
        <s v="문래정보문화도서관"/>
        <s v="선유정보문화도서관"/>
        <s v="당산2동 주민센터"/>
        <s v="신길3동주민센터"/>
        <s v="신길6동주민센터"/>
        <s v="양평1빗물펌프장"/>
        <s v="관악보건지소"/>
        <s v="싱글벙글교육센터"/>
        <s v="관악문화원(복합시설)"/>
        <s v="관악문화원도서관(관악문화관)"/>
        <s v="신림체육센터"/>
        <s v="서울시인재개발원 주차장 서초태양광발전소"/>
        <s v="위례새솔어린이집"/>
        <s v="송파도서관"/>
        <s v="송파청소년수련관(송파청소년센터)"/>
        <s v="마천2동주민센터"/>
        <s v="토성경로당"/>
        <s v="구립은강어린이집"/>
        <s v="강일공영주차장(견인차보관소)"/>
        <s v="고덕1동주민센터"/>
        <s v="고덕2동주민센터"/>
        <s v="곡교구립어린이집"/>
        <s v="암사1동주민센터"/>
        <s v="암사동직장운동부숙소"/>
        <s v="한마을어린이집"/>
        <s v="에스플렉스센터"/>
        <s v="개포디지털혁신파크(1)"/>
        <s v="한남동공영주차장"/>
        <s v="양천주민편익시설"/>
        <s v="청운복지회관"/>
        <s v="행촌공터 2호"/>
        <s v="행촌공터 3호"/>
        <s v="방배119안전센터 옥상"/>
        <s v="북가좌119안전센터 옥상"/>
        <s v="난곡119안전센터"/>
        <s v="신림119안내센터"/>
        <s v="학생회관 태양광 발전설비(2)"/>
        <s v="뚝섬한강공원 안내센터(공중화장실 4개소)"/>
        <s v="뚝섬한강공원 안내센터(수영장그늘막)"/>
        <s v="뚝섬한강공원 안내센터(차량주차장 지붕)"/>
        <s v="뚝섬공원벽천분수태양광"/>
        <s v="한강사업본부 청사(전망데크)"/>
        <s v="광진교 8번가(교각)"/>
        <s v="데이터센터 옥상"/>
        <s v="서울과학관(배밭꽃농원)"/>
        <s v="시설관리공단청사"/>
        <s v="신방화역환승주차장"/>
        <s v="천왕지구7단지아파트"/>
        <s v="서울시복지재단"/>
        <s v="무악동주민센터"/>
        <s v="중림어린이집"/>
        <s v="용답동 공영주차장"/>
        <s v="홍익동 공영주차장"/>
        <s v="사근동공공복합청사"/>
        <s v="광진광장"/>
        <s v="다사랑행복센터"/>
        <s v="동답공영주차장 "/>
        <s v="강북구의회"/>
        <s v="미아동공영주차장"/>
        <s v="삼양동종합복지센터"/>
        <s v="원송경로당"/>
        <s v="냉천길공영주차장"/>
        <s v="도봉시민햇빛나눔발전소2호기(누원고등학교)"/>
        <s v="무수경로당"/>
        <s v="방학2동경로당"/>
        <s v="방학3동주민센터"/>
        <s v="백운경로당"/>
        <s v="쌍문1동 어린이집"/>
        <s v="원당경로당"/>
        <s v="창3동 어린이집"/>
        <s v="창일경로당"/>
        <s v="도봉햇빛나눔발전소 2호기(창2동주민센터)"/>
        <s v="수락한옥어린이집"/>
        <s v="불암골행복발전소"/>
        <s v="도암경로당(등대프로젝트)"/>
        <s v="공릉행복발전소"/>
        <s v="노원50+센터"/>
        <s v="보듬이나눔이어린이집"/>
        <s v="녹번산골드림e"/>
        <s v="응암1동주민센터"/>
        <s v="응암2동주민센터"/>
        <s v="응암산골드림e"/>
        <s v="불광천에코에너지테마파크"/>
        <s v="홍은1동제1공영주차장"/>
        <s v="개미마을경로당"/>
        <s v="마포구민체육센터2"/>
        <s v="계남다목적체육관"/>
        <s v="제설및도로유지관리창고"/>
        <s v="신양어르신사랑방"/>
        <s v="용왕어르신사랑방"/>
        <s v="허준박물관"/>
        <s v="강서청소년회관"/>
        <s v="신도림빗물펌프장 "/>
        <s v="구로희망 햇빛발전소2호기(신구로펌프장)"/>
        <s v="구로2펌프장"/>
        <s v="박미사랑 마을회관"/>
        <s v="여의도복지센터"/>
        <s v="대림3동경로당"/>
        <s v="양평1동경로당"/>
        <s v="양평4가경로당"/>
        <s v="당산1가경로당"/>
        <s v="상도어린이집"/>
        <s v="선재어린이집"/>
        <s v="약수데이케어센터"/>
        <s v="우리어린이집"/>
        <s v="관악구민종합체육센터(2)"/>
        <s v="난곡3동 주민센터(난곡동주민센터)"/>
        <s v="하난곡어린이집"/>
        <s v="구립상록어린이집"/>
        <s v="예술의마을 경로당"/>
        <s v="구립서초노인요양센터"/>
        <s v="송파잠실유수지"/>
        <s v="서울여성공예센터 더아리움"/>
        <s v="남부여성발전센터(본관,교육관)"/>
        <s v="중부기술교육원(나눔관, 창조관)"/>
        <s v="서울창업허브(본관)"/>
        <s v="50플러스 남부캠퍼스"/>
        <s v="시립강북노인종합복지관"/>
        <s v="시립용산노인종합복지관"/>
        <s v="우이신설도시철도 차량기지"/>
        <s v="서울새활용플라자"/>
        <s v="잠실철교 남단"/>
        <s v="고척119안전센터"/>
        <s v="성동소방서"/>
        <s v="마포소방서 옥상녹화"/>
        <s v="미디어관 태양광 발전설비"/>
        <s v="효창운동장(1)"/>
        <s v="선유도공원"/>
        <s v="3호선 옥수역"/>
        <s v="누비어린이집"/>
        <s v="서울에너지공사(서남 열공급시설)"/>
        <s v="서울의료원 2"/>
        <s v="모두의학교"/>
        <s v="종로1234가동 청사"/>
        <s v="환경미화원휴게소"/>
        <s v="종로노인종합복지관"/>
        <s v="용산장애인복지관"/>
        <s v="도선경로당"/>
        <s v="성동구보건소금호분소"/>
        <s v="금호스포츠센터 배드민턴 전용구장"/>
        <s v="자양공공힐링센터"/>
        <s v="광진노인종합복지관"/>
        <s v="외대역공영주차장"/>
        <s v="답십리1동주민센터"/>
        <s v="북악경로당"/>
        <s v="삼태기마을"/>
        <s v="석관실버복지센터"/>
        <s v="성북구청사"/>
        <s v="삼덕마을주민공동이용시설"/>
        <s v="삼각산동 복합청사"/>
        <s v="강북문화정보도서관"/>
        <s v="양지마을사랑채"/>
        <s v="강북실버종합복지센터"/>
        <s v="도봉산 수변무대 태양광쉼터"/>
        <s v="쌍문2동어린이집"/>
        <s v="도봉시민햇빛나눔발전소3호기(청소차고지)"/>
        <s v="도봉EM센터"/>
        <s v="도봉서원종합복지관"/>
        <s v="방아골종합사회복지관"/>
        <s v="도봉산공중화장실(여)"/>
        <s v="도봉장애인종합복지관"/>
        <s v="수락산도시자연공원당고개지구 당고개배드민턴장"/>
        <s v="공릉제2빗물펌프장"/>
        <s v="원터행복발전소(구 상계2동청사)"/>
        <s v="불암산더불어숲"/>
        <s v="노원에코센터 에너지체험놀이터"/>
        <s v="상계9동주민센터"/>
        <s v="월계문화체육센터 자전거대여소"/>
        <s v="골마을 근린공원 실험용주택"/>
        <s v="노원제로에너지센트럴파크"/>
        <s v="제로에너지주택실증단지"/>
        <s v="노원아동복지관"/>
        <s v="불광천자전거센터"/>
        <s v="정원단지경로당"/>
        <s v="서대문다목적체육관"/>
        <s v="홍은1동제4공영주차장"/>
        <s v="마포창업복지관"/>
        <s v="공덕1동노인정"/>
        <s v="마포중앙도서관및청소년교육센터"/>
        <s v="목사랑시장 고객주차장&amp;공유센터"/>
        <s v="방화1동주민센터"/>
        <s v="구로1빗물펌프장"/>
        <s v="영등포자원순환센터방음벽태양광"/>
        <s v="다울작은도서관"/>
        <s v="관악구장애인종합복지관"/>
        <s v="문성지구다목적실내체육관(관악구청,미성체육관)"/>
        <s v="구립운동장 관리동(관악구민운동장)"/>
        <s v="난곡동제1공영주차장"/>
        <s v="신림4.5동교"/>
        <s v="돌샘행복마을회관"/>
        <s v="송파교통체험관"/>
        <s v="송파보건지소"/>
        <s v="강동구청제2청사"/>
        <s v="고덕빗물펌프장"/>
        <s v="고덕천 태양광파고라"/>
        <s v="서울창업허브(별관)"/>
        <s v="DMC첨단산업센터"/>
        <s v="북부기술교육원(교육1관)"/>
        <s v="중부기술교육원(본관)"/>
        <s v="개포디지털혁신파크(2)"/>
        <s v="도봉노인종합복지관"/>
        <s v="양평쉼터"/>
        <s v="성동노인종합복지관"/>
        <s v="영등포보현의집"/>
        <s v="은평의마을(은평의집)"/>
        <s v="버스정류장(사당역, ID : 21028)"/>
        <s v="버스정류장(사당역, ID : 22028)"/>
        <s v="버스정류장(사당자동차학원, ID : 21027)"/>
        <s v="버스정류장(전원마을, 남태령역2번출구, ID : 22026)"/>
        <s v="삼전역 931변전소(삼전역,석촌고분역)"/>
        <s v="중앙보훈병원역 938변전소(둔촌오륜역)"/>
        <s v="한성백제역 935변전소(석촌역,송파나루역,한성백제역)"/>
        <s v="서소문청사 1동(2)"/>
        <s v="서소문청사 2동(2)"/>
        <s v="시립청소년직업체험센터"/>
        <s v="은평청소년센터"/>
        <s v="시립은혜로운집"/>
        <s v="산새둥지"/>
        <s v="구로소방서(공단119안전센터)"/>
        <s v="강남소방서=&gt;세곡119안전센터"/>
        <s v="수색119안전센터"/>
        <s v="노량진119안전센터"/>
        <s v="관악소방서"/>
        <s v="대림119안전센터"/>
        <s v="봉천119안전센터"/>
        <s v="여의도119안전센터"/>
        <s v="신월119안전센터"/>
        <s v="소방학교"/>
        <s v="관악소방서복지동"/>
        <s v="중랑구면목119안전센터"/>
        <s v="100주년기념관 태양광 발전설비"/>
        <s v="학생회관 태양광 발전설비(3)"/>
        <s v="생활관 태양광 발전설비(2)"/>
        <s v="보건환경연구원 본관 증축동"/>
        <s v="다솜관 경사지붕"/>
        <s v="강북아리수정수센터 (송수펌프동)"/>
        <s v="강북아리수정수센터(취수장)"/>
        <s v="암사아리수정수센터(본관동 주차장)"/>
        <s v="광암아리수정수센터(주차장)"/>
        <s v="구의아리수정수센터(전기실 옆)"/>
        <s v="남부수도사업소(금천배수지아리수올림터)"/>
        <s v="남부수도사업소(상도3아리수올림터)"/>
        <s v="영등포아리수정수센터(탈수기동)"/>
        <s v="강서안내센터"/>
        <s v="암사 야생탐센터"/>
        <s v="한강뚝섬안내센터(벽면)"/>
        <s v="한강야생탐센터(난지캠핑장)"/>
        <s v="효창운동장(2)"/>
        <s v="남산별관"/>
        <s v="북서울꿈의숲(아트센터)"/>
        <s v="중랑캠핑숲(양원도서관)"/>
        <s v="평화의공원 휴게음식점 옥상"/>
        <s v="서울식물원"/>
        <s v="서울기록원"/>
        <s v="구파발역노외주차장"/>
        <s v="양천차고지"/>
        <s v="웃우물노외주차장"/>
        <s v="서울어린이대공원(고객안내센터)"/>
        <s v="서울어린이대공원(꿈마루)"/>
        <s v="서울어린이대공원(숲속무대)"/>
        <s v="서울어린이대공원(열대동물관)"/>
        <s v="서울어린이대공원(원숭이마을)"/>
        <s v="서울시농수산식품공사 강서지사(2)"/>
        <s v="남산타운아파트"/>
        <s v="옥수레미안 리버젠 2차 아파트"/>
        <s v="청계벽산아파트"/>
        <s v="항동하버라인 8단지"/>
        <s v="행당두산위브아파트"/>
        <s v="행당푸르지오아파트"/>
        <s v="돈의문센트레빌215동 임대동"/>
        <s v="백련산힐스테이트1차"/>
        <s v="백련산힐스테이트2차"/>
        <s v="백련산힐스테이트3차"/>
        <s v="불광롯데캐슬4차아파트(임대201동)"/>
        <s v="서부운전면허시험장 본관"/>
        <s v="중계4단지아파트"/>
        <s v="홍은 센트레빌3차 "/>
        <s v="홍제 유원아파트"/>
        <s v="항동하버라인 11단지"/>
        <s v="강서운전면허시험장 본관"/>
        <s v="서울에너지공사(사옥 별관)"/>
        <s v="자양고가도로 태양광 발전소"/>
        <s v="와룡공영주차장"/>
        <s v="부암경로당"/>
        <s v="삼청공원공중화장실1"/>
        <s v="인왕산도시자연공원청운화장실"/>
        <s v="착한주차안내소"/>
        <s v="대한노인회 서울시연합회"/>
        <s v="맑은샘어린이집"/>
        <s v="성동안심상가"/>
        <s v="성동종합사회복지관"/>
        <s v="송정빗물펌프장"/>
        <s v="행당빗물펌프장"/>
        <s v="용답제2주차장 전기차 충전스테이션"/>
        <s v="응봉동 공영주차장"/>
        <s v="아차산생태공원주차장"/>
        <s v="용두문화복지센터"/>
        <s v="용두청소년독서실"/>
        <s v="이문체육문화센터"/>
        <s v="중산공영주차장"/>
        <s v="면목2동공영주차장"/>
        <s v="양원숲속도서관"/>
        <s v="푸른샘어린이집"/>
        <s v="강북보훈회관"/>
        <s v="벌리교 태양광파고라"/>
        <s v="번1동주민센터"/>
        <s v="강북청소년문화정보도서관"/>
        <s v="강북문화예술회관"/>
        <s v="도봉구청사(2)"/>
        <s v="다락원체육공원"/>
        <s v="음식물중간처리장(2)"/>
        <s v="창4동주민센터"/>
        <s v="도깨비시장 고객지원센터"/>
        <s v="도봉구보건소"/>
        <s v="창동육아종합지원센터"/>
        <s v="도봉1동주민센터"/>
        <s v="도봉여성센터"/>
        <s v="도봉천 농구장 태양광쉼터"/>
        <s v="신우경로당"/>
        <s v="효문경로당"/>
        <s v="불암산나비정원"/>
        <s v="불암정보도서관"/>
        <s v="상계청소년문화의집"/>
        <s v="월계문화복지센터"/>
        <s v="노원어린이집"/>
        <s v="월계3동어린이집"/>
        <s v="창의청솔어린이집"/>
        <s v="총 14개소, 공영주차장 안내부스"/>
        <s v="공릉청소년문화정보센터"/>
        <s v="가족통합지원센터"/>
        <s v="구립대조노인복지관"/>
        <s v="은평구청(본관,2호)"/>
        <s v="은평구평생학습관"/>
        <s v="응암3동주민센터"/>
        <s v="북한산 호박골 놀이터"/>
        <s v="홍은청소년공부방"/>
        <s v="마포구종합행정타운(보건소)"/>
        <s v="마포구성산1동주민센터"/>
        <s v="목동문화체육센터"/>
        <s v="내촌경로당"/>
        <s v="마곡레포츠센터(주차장)"/>
        <s v="신곡경로당"/>
        <s v="궁동어린이도서관"/>
        <s v="가리봉시장"/>
        <s v="구로구가족통합지원센타"/>
        <s v="구로건강가정지원센터"/>
        <s v="금천사회적경제허브센터"/>
        <s v="독산2동주민센터"/>
        <s v="금천마을예술창작소 어울샘"/>
        <s v="금나래중앙공원(금천커뮤니티센터)"/>
        <s v="금천구 종합청사 3"/>
        <s v="도림동배드민턴전용실내체육관"/>
        <s v="도림2빗물펌프장"/>
        <s v="영등포구보훈회관"/>
        <s v="영등포구청(별관청사)"/>
        <s v="자원순환센터"/>
        <s v="구립영등포노인케어센터"/>
        <s v="양평2빗물펌프장"/>
        <s v="영등포공원(1)"/>
        <s v="양평2동주민센터"/>
        <s v="샛별어린이집"/>
        <s v="연꽃어린이집"/>
        <s v="노량진공원화장실"/>
        <s v="동작구민체육센터"/>
        <s v="성대경로당"/>
        <s v="예담어린이집"/>
        <s v="흑석동 구립큰별어린이집"/>
        <s v="보라매제1공영주차장"/>
        <s v="신림동공영주차장"/>
        <s v="원신공영주차장"/>
        <s v="관악산제2구립운동장화장실"/>
        <s v="난곡공원화장실"/>
        <s v="장군봉근린공원화장실"/>
        <s v="동산마을구립노인정(동산어린이공원)"/>
        <s v="내곡열린문화센터"/>
        <s v="반포3동주민센터"/>
        <s v="강남환경자원센터"/>
        <s v="구립송파노인요양센터"/>
        <s v="가락1동주민센터"/>
        <s v="자원순환공원"/>
        <s v="남천경로당"/>
        <s v="상일동주민센터"/>
        <s v="성내빗물펌프장"/>
        <s v="전태일 노동복합시설"/>
        <s v="서울바이오허브 연구실험동"/>
        <s v="서울바이오허브 지역열림동"/>
        <s v="신기술창업센터 A동"/>
        <s v="서울시립중랑노인전문요양원"/>
        <s v="시립구로노인종합복지관"/>
        <s v="서울시립북부장애인종합복지관"/>
        <s v="한남유수지공영주차장"/>
        <s v="중앙버스정류소2개소(석촌역, ID : 24005, 24006)"/>
        <s v="월드컵공원(솔라스퀘어)"/>
        <s v="뚝섬안내센터(솔라로드)"/>
        <s v="강서인터넷중독센터"/>
        <s v="시립노원청소년직업체험센터"/>
        <s v="하이서울유스호스텔"/>
        <s v="해오름마을주민공동이용시설"/>
        <s v="성곽마을"/>
        <s v="목동재난체험관"/>
        <s v="소방재난본부"/>
        <s v="상암119안전센터"/>
        <s v="신도림119안전센터"/>
        <s v="공릉119안전센터"/>
        <s v="발산119안전센터"/>
        <s v="서초119안내센터"/>
        <s v="소방학교본관"/>
        <s v="수락119안전센터"/>
        <s v="용산소방서"/>
        <s v="음악관 태양광 발전설비"/>
        <s v="인재개발원 다솜관3"/>
        <s v="강북정수센터 탈수기동 옥상 "/>
        <s v="북악터널배수지"/>
        <s v="강서수도사업소 청사 옥상"/>
        <s v="광암정수센터 유지관리동"/>
        <s v="뚝도아리수정수센터 송수펌프동"/>
        <s v="뚝도아리수정수센터 자양취수장 "/>
        <s v="뚝도아리수정수센터 탈수기동 "/>
        <s v="암사아리수정수센터 관리본관 "/>
        <s v="암사아리수정수센터 취수펌프장 "/>
        <s v="암사아리수정수센터 탈수기동 "/>
        <s v="영등포아리수정수센터 1정수장 송수펌프장 "/>
        <s v="영등포아리수정수센터 2정수장 활성탄흡착지 "/>
        <s v="영등포아리수정수센터 병물동"/>
        <s v="영등포아리수정수센터 풍납취수장"/>
        <s v="광나루안내센터(2)"/>
        <s v="서울생활사박물관"/>
        <s v="시립미술관 난지 창작 스튜디오"/>
        <s v="성동도로사업소 청사"/>
        <s v="서부도로사업소 본관 뒤편"/>
        <s v="남부도로사업소"/>
        <s v="신원지하차도"/>
        <s v="보라매공원정문주차장"/>
        <s v="율현공원 근린공원4호 휴게실2"/>
        <s v="월드컵공원노을공원주차장"/>
        <s v="강서공영차고지 옥상"/>
        <s v="서울어린이대공원 바다동물관 옥상"/>
        <s v="서울어린이대공원 식물원 옥상"/>
        <s v="신내동 640행복주택"/>
        <s v="관악벽산2단지"/>
        <s v="길음7구역 두산위브아파트 707동"/>
        <s v="돈암풍림 아파트"/>
        <s v="마장SH빌아파트 관리사무소"/>
        <s v="삼각산아이원 아파트 121동, 122동"/>
        <s v="상도신동아 아파트 "/>
        <s v="세곡리엔파크4단지아파트"/>
        <s v="시흥벽산6단지"/>
        <s v="월곡2 SH빌아파트 101동"/>
        <s v="월곡3 SH빌아파트 127동"/>
        <s v="천왕지구8단지도시형생활주택 "/>
        <s v="성수1호 태양광 발전소"/>
        <s v="성수2호 태양광 발전소"/>
        <s v="개화역환승센터 태양광발전소"/>
        <s v="서울거리예술창작센터"/>
        <s v="남산실버복지센터"/>
        <s v="중구종합복지센터"/>
        <s v="장애인 커뮤니티 센터"/>
        <s v="대현산공원관리사무소"/>
        <s v="응봉산 암벽 관리사무소"/>
        <s v="뚝섬빗물펌프장(2)"/>
        <s v="금호어린이집"/>
        <s v="성수2가1동공영주차장"/>
        <s v="송화어린이집"/>
        <s v="강변공영주차장"/>
        <s v="성동구도시관리공단청사"/>
        <s v="용답제2공영주차장"/>
        <s v="대현산체육관"/>
        <s v="구의1동주민센터"/>
        <s v="자양유수지체육시설(문화복합시설)"/>
        <s v="구의공원 태양광 힐링쉼터"/>
        <s v="능동공영주차장"/>
        <s v="자양종합사회복지관"/>
        <s v="광진청소년수련관"/>
        <s v="동대문구창업지원센터"/>
        <s v="신내3지구공원녹지사무소"/>
        <s v="정릉종합사회복지관(2)"/>
        <s v="소리어린이집"/>
        <s v="오동근린공원배드민턴장"/>
        <s v="우이동먹거리마을태양광쉼터"/>
        <s v="방학2동숲속마을"/>
        <s v="쌍문제3동주민센터"/>
        <s v="쌍문채움도서관"/>
        <s v="창5동주민센터"/>
        <s v="상계 보훈회관 옥상"/>
        <s v="수색동주민센터"/>
        <s v="구립응암노인복지관"/>
        <s v="불광천 생태에너지체험장 옥외분수대 상단"/>
        <s v="구립구산어린이집및경로당"/>
        <s v="역촌2동어린이집"/>
        <s v="서대문구 육아종합지원센터"/>
        <s v="서대문 중앙근린공원"/>
        <s v="궁동근린공원실내체육관"/>
        <s v="푸르메어린이재활병원"/>
        <s v="공덕1동어린이집"/>
        <s v="상암경로문화센터"/>
        <s v="서강어린이집"/>
        <s v="서림경로당"/>
        <s v="성산유수지(성산빗물펌프장)"/>
        <s v="아현어린이집"/>
        <s v="연서 경로당"/>
        <s v="중동어린이집"/>
        <s v="서서울어르신종합복지관"/>
        <s v="양천어르신종합복지관"/>
        <s v="마곡레포츠센터(실내배드민턴장)"/>
        <s v="구로3빗물펌프장"/>
        <s v="구로구청(2)"/>
        <s v="시흥빗물펌프장"/>
        <s v="금천구립경로당 11개소"/>
        <s v="목화경로당"/>
        <s v="시흥2동경로당(산장경로당)"/>
        <s v="철쭉경로당"/>
        <s v="금천구 보훈회관 옥상"/>
        <s v="금천어르신복지센터(신축)"/>
        <s v="영등포공원(2)"/>
        <s v="대림2동주민공동이용시설"/>
        <s v="상도4동도시재생주민공동이용시설(앵커시설)"/>
        <s v="상도4동 주민편의복합청사"/>
        <s v="관악구보훈회관"/>
        <s v="문성지구다목적실내체육관(미성체육관)"/>
        <s v="관악구청 2층 쉼터"/>
        <s v="서초4동복합주민센터"/>
        <s v="양재도서관"/>
        <s v="강남구직업재활센터"/>
        <s v="강남문화재단(세곡동주민센터)"/>
        <s v="청소년 문화의 집(잠실청소년센터)"/>
        <s v="탄천빗물펌프장"/>
        <s v="송파제1경로당"/>
        <s v="일자산 태양광발전설비(캠핑장 주차장 관리실, 2체육관 주차장)"/>
        <s v="강동아트센터(2)"/>
        <s v="능골근린공원"/>
        <s v="구의아리수정수센터(주민친화시설)"/>
        <s v="강변북로 광나루태양광"/>
        <s v="천왕차량기지 태양광 발전소"/>
        <s v="모란차량기지 태양광 발전소"/>
        <s v="방화차량기지 태양광 발전소"/>
        <s v="신월6동 마을사랑주차장"/>
        <s v="금하새빛어린이집"/>
        <s v="읍내경로당"/>
        <s v="청춘빌딩"/>
        <s v="구립어울림경로당"/>
        <s v="둔촌도서관 "/>
        <s v="길동복합청사"/>
      </sharedItems>
    </cacheField>
    <cacheField name="주소" numFmtId="0">
      <sharedItems/>
    </cacheField>
    <cacheField name="업체명" numFmtId="3">
      <sharedItems containsBlank="1"/>
    </cacheField>
    <cacheField name="설치용량_x000a_[KW]" numFmtId="3">
      <sharedItems containsSemiMixedTypes="0" containsString="0" containsNumber="1" minValue="0.6" maxValue="1992"/>
    </cacheField>
    <cacheField name="설치비_x000a_[백만원]" numFmtId="3">
      <sharedItems containsMixedTypes="1" containsNumber="1" minValue="0" maxValue="3117"/>
    </cacheField>
    <cacheField name="단가_x000a_[백만/kW]" numFmtId="177">
      <sharedItems containsMixedTypes="1" containsNumber="1" minValue="0" maxValue="23.717948717948719"/>
    </cacheField>
    <cacheField name="단가배수_x000a_(실제/표준)" numFmtId="177">
      <sharedItems containsMixedTypes="1" containsNumber="1" minValue="0" maxValue="8.916522074416811"/>
    </cacheField>
    <cacheField name="비고_x000a_(단가)" numFmtId="177">
      <sharedItems containsBlank="1"/>
    </cacheField>
    <cacheField name="유지보수비 합계" numFmtId="177">
      <sharedItems containsSemiMixedTypes="0" containsString="0" containsNumber="1" minValue="0" maxValue="88.87"/>
    </cacheField>
    <cacheField name="kW당_x000a_유지보수비_x000a_[천원]" numFmtId="178">
      <sharedItems containsSemiMixedTypes="0" containsString="0" containsNumber="1" minValue="0" maxValue="327.99999999999994"/>
    </cacheField>
    <cacheField name="수익분석" numFmtId="178">
      <sharedItems containsSemiMixedTypes="0" containsString="0" containsNumber="1" minValue="-46.822000000000003" maxValue="1322.7936"/>
    </cacheField>
    <cacheField name="비고" numFmtId="177">
      <sharedItems containsBlank="1"/>
    </cacheField>
    <cacheField name="2016년" numFmtId="177">
      <sharedItems containsBlank="1" containsMixedTypes="1" containsNumber="1" minValue="0" maxValue="65.135000000000005"/>
    </cacheField>
    <cacheField name="2017년" numFmtId="177">
      <sharedItems containsBlank="1" containsMixedTypes="1" containsNumber="1" minValue="0.03" maxValue="5.7"/>
    </cacheField>
    <cacheField name="2018년" numFmtId="177">
      <sharedItems containsBlank="1" containsMixedTypes="1" containsNumber="1" minValue="0" maxValue="46.79"/>
    </cacheField>
    <cacheField name="2019년" numFmtId="177">
      <sharedItems containsBlank="1" containsMixedTypes="1" containsNumber="1" minValue="0" maxValue="27.4"/>
    </cacheField>
    <cacheField name="2020년" numFmtId="177">
      <sharedItems containsBlank="1" containsMixedTypes="1" containsNumber="1" minValue="0.06" maxValue="28.8"/>
    </cacheField>
    <cacheField name="예상발전량_x000a_(보정전)" numFmtId="3">
      <sharedItems containsSemiMixedTypes="0" containsString="0" containsNumber="1" minValue="700.8" maxValue="2326656"/>
    </cacheField>
    <cacheField name="경사각_x000a_[º]" numFmtId="3">
      <sharedItems containsString="0" containsBlank="1" containsNumber="1" minValue="-1" maxValue="90"/>
    </cacheField>
    <cacheField name="방위각_x000a_[º]" numFmtId="3">
      <sharedItems containsString="0" containsBlank="1" containsNumber="1" minValue="-90" maxValue="170"/>
    </cacheField>
    <cacheField name="보정계수_x000a_[%]" numFmtId="176">
      <sharedItems containsSemiMixedTypes="0" containsString="0" containsNumber="1" minValue="0.54500000000000004" maxValue="1"/>
    </cacheField>
    <cacheField name="경년열화_x000a_[%]" numFmtId="176">
      <sharedItems containsSemiMixedTypes="0" containsString="0" containsNumber="1" minValue="0.92999999999999994" maxValue="0.995"/>
    </cacheField>
    <cacheField name="예상발전량_x000a_[kW, '20년]" numFmtId="3">
      <sharedItems containsSemiMixedTypes="0" containsString="0" containsNumber="1" minValue="686.78399999999999" maxValue="2200434.912"/>
    </cacheField>
    <cacheField name="2016년_x000a_[kWh]" numFmtId="41">
      <sharedItems containsMixedTypes="1" containsNumber="1" minValue="0" maxValue="2621479"/>
    </cacheField>
    <cacheField name="2017년_x000a_[kWh]" numFmtId="41">
      <sharedItems containsMixedTypes="1" containsNumber="1" minValue="0" maxValue="2671372"/>
    </cacheField>
    <cacheField name="2018년_x000a_[kWh]" numFmtId="41">
      <sharedItems containsBlank="1" containsMixedTypes="1" containsNumber="1" minValue="0" maxValue="2658721"/>
    </cacheField>
    <cacheField name="2019년_x000a_[kWh]" numFmtId="41">
      <sharedItems containsBlank="1" containsMixedTypes="1" containsNumber="1" minValue="58" maxValue="2583775"/>
    </cacheField>
    <cacheField name="2020.7." numFmtId="41">
      <sharedItems containsBlank="1" containsMixedTypes="1" containsNumber="1" minValue="0" maxValue="1582108"/>
    </cacheField>
    <cacheField name="2020년_x000a_[kWh]" numFmtId="41">
      <sharedItems containsMixedTypes="1" containsNumber="1" minValue="0" maxValue="2761231"/>
    </cacheField>
    <cacheField name="발전효율_x000a_[%]" numFmtId="9">
      <sharedItems containsSemiMixedTypes="0" containsString="0" containsNumber="1" minValue="0" maxValue="1.7289278725188704"/>
    </cacheField>
    <cacheField name="비고2" numFmtId="0">
      <sharedItems containsBlank="1"/>
    </cacheField>
    <cacheField name="사유입력_x000a_(효율 90% 미만, 150% 이상)" numFmtId="0">
      <sharedItems containsBlank="1" longText="1"/>
    </cacheField>
    <cacheField name="고장여부" numFmtId="0">
      <sharedItems/>
    </cacheField>
    <cacheField name="고장원인" numFmtId="0">
      <sharedItems containsBlank="1"/>
    </cacheField>
    <cacheField name="총 수리비용_x000a_[백만원]" numFmtId="0">
      <sharedItems containsString="0" containsBlank="1" containsNumber="1" minValue="0" maxValue="46.79"/>
    </cacheField>
    <cacheField name="총 수리기간_x000a_[일]" numFmtId="0">
      <sharedItems containsString="0" containsBlank="1" containsNumber="1" minValue="1" maxValue="420"/>
    </cacheField>
    <cacheField name="비고3" numFmtId="0">
      <sharedItems containsBlank="1"/>
    </cacheField>
    <cacheField name="자가소비여부_x000a_(수정전)" numFmtId="0">
      <sharedItems/>
    </cacheField>
    <cacheField name="자가소비여부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2"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7"/>
  </r>
  <r>
    <x v="8"/>
  </r>
  <r>
    <x v="9"/>
  </r>
  <r>
    <x v="9"/>
  </r>
  <r>
    <x v="9"/>
  </r>
  <r>
    <x v="9"/>
  </r>
  <r>
    <x v="9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75">
  <r>
    <n v="1"/>
    <x v="0"/>
    <n v="3"/>
    <x v="0"/>
    <n v="11"/>
    <x v="0"/>
    <x v="0"/>
    <s v="강남구 광평로34길 124(수서동 산4-1)"/>
    <s v="서우전설"/>
    <n v="50"/>
    <n v="365"/>
    <n v="7.3"/>
    <n v="0.76439790575916222"/>
    <m/>
    <n v="1.4"/>
    <n v="5.5999999999999988"/>
    <n v="33.64"/>
    <s v="안전관리"/>
    <s v="-"/>
    <s v="-"/>
    <n v="0.6"/>
    <n v="0.4"/>
    <n v="0.4"/>
    <n v="58400"/>
    <n v="15"/>
    <n v="0"/>
    <n v="0.96399999999999997"/>
    <n v="0.92999999999999994"/>
    <n v="52356.767999999989"/>
    <n v="49165"/>
    <n v="55823"/>
    <n v="53459"/>
    <n v="47432"/>
    <n v="31341"/>
    <n v="46341"/>
    <n v="0.88510047067840403"/>
    <m/>
    <s v="여름철 긴장마로 일조시간 단축"/>
    <s v="ㅇ"/>
    <s v="접속반"/>
    <n v="2.1"/>
    <n v="60"/>
    <m/>
    <s v="ㅇ"/>
    <s v="ㅇ"/>
  </r>
  <r>
    <n v="2"/>
    <x v="1"/>
    <n v="5"/>
    <x v="0"/>
    <n v="5"/>
    <x v="1"/>
    <x v="1"/>
    <s v="충남 서천군 서면 월호리 621"/>
    <s v="한화건설, 태영건설"/>
    <n v="31"/>
    <n v="226"/>
    <n v="7.2"/>
    <n v="0.75392670157068054"/>
    <m/>
    <n v="4.8"/>
    <n v="30.967741935483872"/>
    <n v="17.065200000000001"/>
    <s v="수리비용"/>
    <n v="1.8"/>
    <s v="-"/>
    <s v="-"/>
    <s v="-"/>
    <n v="3"/>
    <n v="36442"/>
    <n v="32"/>
    <n v="15"/>
    <n v="0.997"/>
    <n v="0.93"/>
    <n v="33789"/>
    <n v="42893"/>
    <n v="43251"/>
    <n v="43753"/>
    <n v="43287"/>
    <n v="25801"/>
    <n v="41270"/>
    <n v="1.22"/>
    <m/>
    <m/>
    <s v="ㅇ"/>
    <s v="모듈, 인버터"/>
    <n v="4.8"/>
    <n v="2"/>
    <m/>
    <s v="ㅇ"/>
    <s v="ㅇ"/>
  </r>
  <r>
    <n v="3"/>
    <x v="2"/>
    <n v="6"/>
    <x v="0"/>
    <n v="12"/>
    <x v="2"/>
    <x v="2"/>
    <s v="서초구 남부순환로340길 58"/>
    <s v="에스에너지"/>
    <n v="55"/>
    <n v="363"/>
    <n v="6.6"/>
    <n v="0.69109947643979053"/>
    <m/>
    <n v="0"/>
    <n v="0"/>
    <n v="38.543999999999997"/>
    <m/>
    <m/>
    <m/>
    <m/>
    <m/>
    <m/>
    <n v="64240"/>
    <m/>
    <m/>
    <n v="1"/>
    <n v="0.92999999999999994"/>
    <n v="59743.199999999997"/>
    <n v="59365"/>
    <n v="60660"/>
    <n v="58748"/>
    <n v="54729"/>
    <n v="32136"/>
    <n v="50815"/>
    <n v="0.85055705084428024"/>
    <m/>
    <s v="여름철 발전량 감소"/>
    <s v="x"/>
    <m/>
    <m/>
    <m/>
    <m/>
    <s v="ㅇ"/>
    <s v="ㅇ"/>
  </r>
  <r>
    <n v="4"/>
    <x v="3"/>
    <n v="4"/>
    <x v="0"/>
    <n v="2"/>
    <x v="3"/>
    <x v="3"/>
    <s v="성동구 뚝섬로 273"/>
    <s v="(주)심포니에너지"/>
    <n v="10"/>
    <n v="100"/>
    <n v="10"/>
    <n v="1.0471204188481675"/>
    <m/>
    <n v="1.9"/>
    <n v="38"/>
    <n v="5.1080000000000005"/>
    <s v="수리비용"/>
    <s v="-"/>
    <s v="-"/>
    <s v="-"/>
    <n v="1.9"/>
    <s v="-"/>
    <n v="11680"/>
    <m/>
    <m/>
    <n v="1"/>
    <n v="0.92999999999999994"/>
    <n v="10862.4"/>
    <n v="13326"/>
    <n v="13115"/>
    <n v="13095"/>
    <n v="13083"/>
    <n v="399"/>
    <n v="565"/>
    <n v="5.2014287818529979E-2"/>
    <s v="시설노후"/>
    <s v="태양광 패널 전압인식 문제로 인버터2대 현재 기동안함(패널 노후화로 인한 문제 추정)"/>
    <s v="ㅇ"/>
    <s v="인버터"/>
    <n v="1.9"/>
    <n v="6"/>
    <m/>
    <s v="ㅇ"/>
    <s v="ㅇ"/>
  </r>
  <r>
    <n v="5"/>
    <x v="4"/>
    <n v="7"/>
    <x v="0"/>
    <n v="10"/>
    <x v="4"/>
    <x v="4"/>
    <s v="강남구 광평로34길 124"/>
    <s v="㈜유일엔지리어링"/>
    <n v="50"/>
    <n v="420"/>
    <n v="8.4"/>
    <n v="0.87958115183246066"/>
    <m/>
    <n v="0"/>
    <n v="0"/>
    <n v="35.04"/>
    <m/>
    <s v="-"/>
    <s v="-"/>
    <s v="-"/>
    <s v="-"/>
    <s v="-"/>
    <n v="58400"/>
    <n v="25"/>
    <n v="-40"/>
    <n v="0.89229881520486776"/>
    <n v="0.92999999999999994"/>
    <n v="48462.533251406778"/>
    <n v="44987"/>
    <n v="44221"/>
    <n v="43043"/>
    <n v="44985"/>
    <n v="29172"/>
    <n v="42307"/>
    <n v="0.87298366720794374"/>
    <m/>
    <m/>
    <s v="x"/>
    <m/>
    <m/>
    <m/>
    <m/>
    <s v="ㅇ"/>
    <s v="ㅇ"/>
  </r>
  <r>
    <n v="6"/>
    <x v="5"/>
    <n v="1"/>
    <x v="0"/>
    <n v="2"/>
    <x v="5"/>
    <x v="5"/>
    <s v="성동구 성수1가1동 642-1"/>
    <s v="심포니에너지,신창건설"/>
    <n v="300"/>
    <n v="2880"/>
    <n v="9.6"/>
    <n v="1.0052356020942408"/>
    <s v="구조물"/>
    <n v="37"/>
    <n v="24.666666666666668"/>
    <n v="173.24"/>
    <s v="소모품교체 등"/>
    <s v="-"/>
    <n v="2"/>
    <n v="30"/>
    <n v="5"/>
    <s v="-"/>
    <n v="350400"/>
    <n v="33"/>
    <n v="0"/>
    <n v="0.999"/>
    <n v="0.92999999999999994"/>
    <n v="325546.12799999997"/>
    <n v="328402"/>
    <n v="279498"/>
    <n v="261749"/>
    <n v="340793"/>
    <n v="221915"/>
    <n v="353262"/>
    <n v="1.0851365432305189"/>
    <m/>
    <s v="17.8월 화재 이후 접속반 순차적 교체(17년), 18,년 나머지 접속반 교체,19년 부속자제 교채"/>
    <s v="x"/>
    <m/>
    <m/>
    <m/>
    <m/>
    <s v="ㅇ"/>
    <s v="ㅇ"/>
  </r>
  <r>
    <n v="7"/>
    <x v="6"/>
    <n v="8"/>
    <x v="0"/>
    <n v="12"/>
    <x v="6"/>
    <x v="6"/>
    <s v="은평구 진관4로7808"/>
    <s v="㈜대양테크"/>
    <n v="25"/>
    <n v="128"/>
    <n v="5.12"/>
    <n v="0.53612565445026172"/>
    <m/>
    <n v="0"/>
    <n v="0"/>
    <n v="17.52"/>
    <m/>
    <s v="-"/>
    <s v="-"/>
    <s v="-"/>
    <s v="-"/>
    <s v="-"/>
    <n v="29200"/>
    <m/>
    <m/>
    <n v="1"/>
    <n v="0.92999999999999994"/>
    <n v="27156"/>
    <n v="0"/>
    <n v="0"/>
    <s v="-"/>
    <s v="(누적)300,194"/>
    <n v="13470"/>
    <n v="25026"/>
    <n v="0.9215642951833849"/>
    <m/>
    <m/>
    <s v="x"/>
    <m/>
    <m/>
    <m/>
    <m/>
    <s v="ㅇ"/>
    <s v="ㅇ"/>
  </r>
  <r>
    <n v="8"/>
    <x v="7"/>
    <n v="2"/>
    <x v="0"/>
    <n v="6"/>
    <x v="7"/>
    <x v="7"/>
    <s v="성북구 하월곡동 11-11"/>
    <s v="대방전력"/>
    <n v="10"/>
    <n v="42"/>
    <n v="4.2"/>
    <n v="0.43979057591623033"/>
    <m/>
    <n v="0.35699999999999998"/>
    <n v="7.1399999999999988"/>
    <n v="6.6509999999999998"/>
    <m/>
    <n v="0.2"/>
    <s v="-"/>
    <s v="-"/>
    <s v="-"/>
    <n v="0.157"/>
    <n v="11680"/>
    <n v="35"/>
    <n v="-30"/>
    <n v="0.97799999999999998"/>
    <n v="0.92999999999999994"/>
    <n v="10623.427199999998"/>
    <n v="3986"/>
    <n v="3754"/>
    <n v="5911"/>
    <n v="2138"/>
    <n v="2953"/>
    <n v="4585"/>
    <n v="0.43159329975923405"/>
    <s v="시설노후"/>
    <s v="기기노후화(불순물 태양전지표면 고착 상태)"/>
    <s v="ㅇ"/>
    <s v="인버터"/>
    <n v="0.2"/>
    <n v="48"/>
    <m/>
    <s v="ㅇ"/>
    <s v="ㅇ"/>
  </r>
  <r>
    <n v="9"/>
    <x v="8"/>
    <n v="21"/>
    <x v="1"/>
    <n v="6"/>
    <x v="8"/>
    <x v="8"/>
    <s v="마포구 월드컵로36길 15"/>
    <s v="헥스파워시스템"/>
    <n v="4.5"/>
    <n v="35"/>
    <n v="7.7777777777777777"/>
    <n v="0.83632019115890077"/>
    <m/>
    <n v="0"/>
    <n v="0"/>
    <n v="3.1536"/>
    <m/>
    <s v="-"/>
    <s v="-"/>
    <s v="-"/>
    <s v="-"/>
    <s v="-"/>
    <n v="5256"/>
    <m/>
    <m/>
    <n v="1"/>
    <n v="0.93500000000000005"/>
    <n v="4914.3600000000006"/>
    <n v="4319"/>
    <n v="5203"/>
    <n v="4761"/>
    <n v="5203"/>
    <n v="3036"/>
    <n v="5203"/>
    <n v="1.0587339958814574"/>
    <m/>
    <m/>
    <s v="x"/>
    <m/>
    <m/>
    <m/>
    <m/>
    <s v="ㅇ"/>
    <s v="ㅇ"/>
  </r>
  <r>
    <n v="10"/>
    <x v="9"/>
    <n v="19"/>
    <x v="1"/>
    <n v="8"/>
    <x v="9"/>
    <x v="9"/>
    <s v="서대문구 천연동 11703"/>
    <s v="LS산전(주)"/>
    <n v="20"/>
    <n v="30"/>
    <n v="1.5"/>
    <n v="0.16129032258064516"/>
    <m/>
    <n v="0"/>
    <n v="0"/>
    <n v="14.016"/>
    <m/>
    <s v="-"/>
    <s v="-"/>
    <s v="-"/>
    <s v="-"/>
    <s v="-"/>
    <n v="23360"/>
    <n v="30"/>
    <n v="0"/>
    <n v="0.99"/>
    <n v="0.93500000000000005"/>
    <n v="21623.184000000001"/>
    <n v="21275"/>
    <n v="22155"/>
    <n v="22471"/>
    <n v="21457"/>
    <n v="11973"/>
    <n v="19546"/>
    <n v="0.90393718149926483"/>
    <m/>
    <s v="모니터링 장비변경으로 상반기 발전량 모니터링 미체크 "/>
    <s v="x"/>
    <m/>
    <m/>
    <m/>
    <m/>
    <s v="ㅇ"/>
    <s v="ㅇ"/>
  </r>
  <r>
    <n v="11"/>
    <x v="10"/>
    <n v="10"/>
    <x v="1"/>
    <n v="6"/>
    <x v="1"/>
    <x v="10"/>
    <s v="충북 충주시 수안보면 동진이1길 99"/>
    <s v="고려개발, 세원전설"/>
    <n v="20"/>
    <n v="142"/>
    <n v="7"/>
    <n v="0.75268817204301075"/>
    <m/>
    <n v="1"/>
    <n v="10"/>
    <n v="13.1282"/>
    <s v="수리비용"/>
    <s v="-"/>
    <s v="-"/>
    <s v="-"/>
    <s v="-"/>
    <n v="1"/>
    <n v="23547"/>
    <n v="25"/>
    <n v="0"/>
    <n v="0.99199999999999999"/>
    <n v="0.93500000000000005"/>
    <n v="21840"/>
    <n v="25353"/>
    <n v="24299"/>
    <n v="24843"/>
    <s v="   "/>
    <n v="14980"/>
    <n v="25896"/>
    <n v="1.19"/>
    <m/>
    <m/>
    <s v="ㅇ"/>
    <s v="인버터, 모니터링"/>
    <n v="1"/>
    <n v="1"/>
    <m/>
    <s v="ㅇ"/>
    <s v="ㅇ"/>
  </r>
  <r>
    <n v="12"/>
    <x v="11"/>
    <n v="13"/>
    <x v="1"/>
    <n v="8"/>
    <x v="10"/>
    <x v="11"/>
    <s v="서초구 헌인릉1길 83-9"/>
    <s v="LS산전㈜"/>
    <n v="45"/>
    <n v="350"/>
    <n v="7.7777777777777777"/>
    <n v="0.83632019115890077"/>
    <m/>
    <n v="2.8"/>
    <n v="12.444444444444443"/>
    <n v="28.736000000000001"/>
    <s v="수리비용"/>
    <n v="2.8"/>
    <s v="-"/>
    <s v="-"/>
    <s v="-"/>
    <s v="-"/>
    <n v="52560"/>
    <n v="30"/>
    <n v="0"/>
    <n v="0.98"/>
    <n v="0.93500000000000005"/>
    <n v="48160.728000000003"/>
    <n v="39519"/>
    <n v="49830"/>
    <n v="50273"/>
    <n v="49520"/>
    <n v="30605"/>
    <n v="48663"/>
    <n v="1.0104290782315417"/>
    <m/>
    <m/>
    <s v="ㅇ"/>
    <s v="인버터"/>
    <n v="2.8"/>
    <n v="60"/>
    <m/>
    <s v="ㅇ"/>
    <s v="ㅇ"/>
  </r>
  <r>
    <n v="13"/>
    <x v="12"/>
    <n v="14"/>
    <x v="1"/>
    <n v="11"/>
    <x v="11"/>
    <x v="12"/>
    <s v="성동구 송정동 73"/>
    <s v="비제이 P＆S"/>
    <n v="200"/>
    <n v="1601"/>
    <n v="8.0050000000000008"/>
    <n v="0.86075268817204298"/>
    <m/>
    <n v="4.9000000000000004"/>
    <n v="4.8999999999999995"/>
    <n v="135.26"/>
    <s v="수리비용"/>
    <s v="-"/>
    <s v="-"/>
    <n v="4.9000000000000004"/>
    <s v="-"/>
    <s v="-"/>
    <n v="233600"/>
    <m/>
    <m/>
    <n v="1"/>
    <n v="0.93500000000000005"/>
    <n v="218416"/>
    <n v="216809"/>
    <n v="215312"/>
    <n v="206124"/>
    <n v="262148"/>
    <n v="123786"/>
    <n v="240086"/>
    <n v="1.0992143432715551"/>
    <m/>
    <m/>
    <s v="ㅇ"/>
    <s v="접속반"/>
    <n v="4.9000000000000004"/>
    <n v="8"/>
    <m/>
    <s v="ㅇ"/>
    <s v="ㅇ"/>
  </r>
  <r>
    <n v="14"/>
    <x v="13"/>
    <n v="17"/>
    <x v="1"/>
    <n v="11"/>
    <x v="12"/>
    <x v="13"/>
    <s v="은평구 갈현로7길 49"/>
    <s v="㈜에스에너지"/>
    <n v="50"/>
    <n v="388"/>
    <n v="7.76"/>
    <n v="0.83440860215053758"/>
    <m/>
    <n v="0"/>
    <n v="0"/>
    <n v="35.04"/>
    <m/>
    <m/>
    <m/>
    <m/>
    <m/>
    <m/>
    <n v="58400"/>
    <n v="10"/>
    <n v="-20"/>
    <n v="0.93799999999999994"/>
    <n v="0.93500000000000005"/>
    <n v="51218.551999999996"/>
    <n v="47316"/>
    <n v="48382"/>
    <n v="46193"/>
    <n v="41151"/>
    <n v="24727"/>
    <n v="41162"/>
    <n v="0.80365411345482796"/>
    <m/>
    <s v="디자인적 특성(라운드형)    "/>
    <s v="x"/>
    <m/>
    <m/>
    <m/>
    <m/>
    <s v="ㅇ"/>
    <s v="ㅇ"/>
  </r>
  <r>
    <n v="15"/>
    <x v="14"/>
    <n v="15"/>
    <x v="1"/>
    <n v="3"/>
    <x v="13"/>
    <x v="14"/>
    <s v="광진구 중곡1동 258-17"/>
    <s v="한양전공㈜"/>
    <n v="5"/>
    <n v="39"/>
    <n v="7.8"/>
    <n v="0.83870967741935476"/>
    <m/>
    <n v="0.1"/>
    <n v="4"/>
    <n v="3.4039999999999999"/>
    <m/>
    <n v="0.1"/>
    <s v="-"/>
    <s v="-"/>
    <s v="-"/>
    <s v="-"/>
    <n v="5840"/>
    <m/>
    <m/>
    <n v="1"/>
    <n v="0.93500000000000005"/>
    <n v="5460.4000000000005"/>
    <n v="0"/>
    <s v="-"/>
    <s v="-"/>
    <n v="3000"/>
    <s v="(누적)18,943"/>
    <n v="3656"/>
    <n v="0.66954801846018597"/>
    <s v="시설노후"/>
    <s v="2010년 이전 설치 노후화로 발전효율 감소"/>
    <s v="x"/>
    <m/>
    <m/>
    <m/>
    <m/>
    <s v="ㅇ"/>
    <s v="ㅇ"/>
  </r>
  <r>
    <n v="16"/>
    <x v="15"/>
    <n v="16"/>
    <x v="1"/>
    <n v="3"/>
    <x v="13"/>
    <x v="15"/>
    <s v="광진구 자양1동 615-28"/>
    <s v="한양전공㈜"/>
    <n v="5"/>
    <n v="39"/>
    <n v="7.8"/>
    <n v="0.83870967741935476"/>
    <m/>
    <n v="0.1"/>
    <n v="4"/>
    <n v="3.4039999999999999"/>
    <m/>
    <n v="0.1"/>
    <s v="-"/>
    <s v="-"/>
    <s v="-"/>
    <s v="-"/>
    <n v="5840"/>
    <m/>
    <m/>
    <n v="1"/>
    <n v="0.93500000000000005"/>
    <n v="5460.4000000000005"/>
    <n v="0"/>
    <n v="0"/>
    <s v="-"/>
    <s v="-"/>
    <s v="(누적)28,235"/>
    <n v="4018"/>
    <n v="0.73584352794667052"/>
    <s v="시설노후"/>
    <s v="2010년 이전 설치 노후화로 발전효율 감소"/>
    <s v="x"/>
    <m/>
    <m/>
    <m/>
    <m/>
    <s v="ㅇ"/>
    <s v="ㅇ"/>
  </r>
  <r>
    <n v="17"/>
    <x v="16"/>
    <n v="9"/>
    <x v="1"/>
    <n v="10"/>
    <x v="14"/>
    <x v="16"/>
    <s v="도봉구 시루봉로6길 33"/>
    <s v="프라임에텍"/>
    <n v="3"/>
    <n v="23"/>
    <n v="7.666666666666667"/>
    <n v="0.82437275985663083"/>
    <m/>
    <n v="1"/>
    <n v="66.666666666666671"/>
    <n v="1.1024000000000003"/>
    <s v="수리비용"/>
    <s v="-"/>
    <n v="1"/>
    <s v="-"/>
    <s v="-"/>
    <s v="-"/>
    <n v="3504.0000000000005"/>
    <n v="20"/>
    <n v="-10"/>
    <n v="0.97899999999999998"/>
    <n v="0.93500000000000005"/>
    <n v="3207.4389600000004"/>
    <n v="1980"/>
    <n v="1975"/>
    <n v="1964"/>
    <n v="1912"/>
    <n v="1091"/>
    <n v="1931"/>
    <n v="0.60203795741135469"/>
    <s v="주변환경 변화에 따른 음영"/>
    <s v="주변건물 음영발생"/>
    <s v="ㅇ"/>
    <s v="인버터"/>
    <n v="1"/>
    <n v="1"/>
    <m/>
    <s v="ㅇ"/>
    <s v="ㅇ"/>
  </r>
  <r>
    <n v="18"/>
    <x v="17"/>
    <n v="22"/>
    <x v="1"/>
    <n v="11"/>
    <x v="15"/>
    <x v="17"/>
    <s v="마포구 월드컵로 212"/>
    <s v="-"/>
    <n v="35"/>
    <n v="174"/>
    <n v="4.9714285714285715"/>
    <n v="0.53456221198156684"/>
    <m/>
    <n v="0"/>
    <n v="0"/>
    <n v="24.527999999999999"/>
    <m/>
    <s v="-"/>
    <s v="-"/>
    <s v="-"/>
    <s v="-"/>
    <s v="-"/>
    <n v="40880"/>
    <m/>
    <m/>
    <n v="1"/>
    <n v="0.93500000000000005"/>
    <n v="38222.800000000003"/>
    <n v="39371"/>
    <n v="44576"/>
    <n v="46134"/>
    <n v="43294"/>
    <n v="27163"/>
    <n v="41979"/>
    <n v="1.0982711889238883"/>
    <m/>
    <m/>
    <s v="x"/>
    <m/>
    <m/>
    <m/>
    <m/>
    <s v="ㅇ"/>
    <s v="ㅇ"/>
  </r>
  <r>
    <n v="19"/>
    <x v="18"/>
    <n v="18"/>
    <x v="1"/>
    <n v="1"/>
    <x v="16"/>
    <x v="18"/>
    <s v="구로구 고척동 산 9-14"/>
    <s v="현대중공업㈜"/>
    <n v="98"/>
    <n v="940"/>
    <n v="9.591836734693878"/>
    <n v="1.0313802940531052"/>
    <m/>
    <n v="0"/>
    <n v="0"/>
    <n v="68.678400000000011"/>
    <m/>
    <s v="-"/>
    <s v="-"/>
    <s v="-"/>
    <s v="-"/>
    <s v="-"/>
    <n v="114464.00000000001"/>
    <n v="35"/>
    <n v="-10"/>
    <n v="0.997"/>
    <n v="0.93500000000000005"/>
    <n v="106702.76848000001"/>
    <n v="82414"/>
    <n v="80989"/>
    <n v="78034"/>
    <n v="76473"/>
    <s v="(누적)1129411"/>
    <n v="88407"/>
    <n v="0.82853520353195609"/>
    <m/>
    <m/>
    <s v="x"/>
    <m/>
    <m/>
    <m/>
    <m/>
    <s v="ㅇ"/>
    <s v="ㅇ"/>
  </r>
  <r>
    <n v="20"/>
    <x v="19"/>
    <n v="12"/>
    <x v="1"/>
    <n v="1"/>
    <x v="17"/>
    <x v="19"/>
    <s v="영등포구 당산로 123"/>
    <s v="E&amp;H"/>
    <n v="3"/>
    <n v="0"/>
    <n v="0"/>
    <n v="0"/>
    <m/>
    <n v="0.8"/>
    <n v="53.333333333333329"/>
    <n v="1.3024000000000002"/>
    <m/>
    <n v="0.1"/>
    <n v="0.1"/>
    <n v="0.1"/>
    <n v="0.2"/>
    <n v="0.3"/>
    <n v="3504.0000000000005"/>
    <n v="30"/>
    <n v="0"/>
    <n v="0.999"/>
    <n v="0.93500000000000005"/>
    <n v="3272.9637600000005"/>
    <n v="0"/>
    <n v="0"/>
    <s v="-"/>
    <s v="-"/>
    <s v="(누적)45,284"/>
    <n v="3613"/>
    <n v="1.103892454953427"/>
    <m/>
    <m/>
    <s v="x"/>
    <m/>
    <m/>
    <m/>
    <m/>
    <s v="ㅇ"/>
    <s v="ㅇ"/>
  </r>
  <r>
    <n v="21"/>
    <x v="20"/>
    <n v="20"/>
    <x v="1"/>
    <n v="2"/>
    <x v="18"/>
    <x v="20"/>
    <s v="관악구 관악로 145"/>
    <s v="㈜에이스파워텍"/>
    <n v="29.96"/>
    <n v="216"/>
    <n v="7.209612817089452"/>
    <n v="0.77522718463327434"/>
    <m/>
    <n v="0"/>
    <n v="0"/>
    <n v="20.995968000000005"/>
    <m/>
    <m/>
    <m/>
    <m/>
    <m/>
    <m/>
    <n v="34993.280000000006"/>
    <m/>
    <m/>
    <n v="1"/>
    <n v="0.93500000000000005"/>
    <n v="32718.716800000009"/>
    <n v="36589"/>
    <n v="35966"/>
    <n v="38964"/>
    <n v="35800"/>
    <n v="25680"/>
    <n v="34306"/>
    <n v="1.0485130028082272"/>
    <m/>
    <m/>
    <s v="x"/>
    <m/>
    <m/>
    <m/>
    <m/>
    <s v="ㅇ"/>
    <s v="ㅇ"/>
  </r>
  <r>
    <n v="22"/>
    <x v="21"/>
    <n v="103"/>
    <x v="2"/>
    <n v="5"/>
    <x v="19"/>
    <x v="21"/>
    <s v="동작구 여의대방로 54길 18"/>
    <s v="㈜에스에너지"/>
    <n v="30"/>
    <n v="234"/>
    <n v="7.8"/>
    <n v="0.8441558441558441"/>
    <m/>
    <n v="0"/>
    <n v="0"/>
    <n v="21.024000000000001"/>
    <m/>
    <s v="-"/>
    <s v="-"/>
    <s v="-"/>
    <s v="-"/>
    <s v="-"/>
    <n v="35040"/>
    <n v="20"/>
    <n v="0"/>
    <n v="0.98099999999999998"/>
    <n v="0.94"/>
    <n v="32311.785599999999"/>
    <n v="32810"/>
    <n v="34220"/>
    <n v="34600"/>
    <n v="33500"/>
    <n v="16440"/>
    <n v="35220"/>
    <n v="1.0900047566544884"/>
    <m/>
    <m/>
    <s v="x"/>
    <m/>
    <m/>
    <m/>
    <m/>
    <s v="ㅇ"/>
    <s v="ㅇ"/>
  </r>
  <r>
    <n v="23"/>
    <x v="22"/>
    <n v="53"/>
    <x v="2"/>
    <n v="6"/>
    <x v="20"/>
    <x v="22"/>
    <s v="강서구 개화동로8길 38"/>
    <s v="헥스파워시스템㈜"/>
    <n v="70"/>
    <n v="501"/>
    <n v="7.1571428571428575"/>
    <n v="0.77458256029684602"/>
    <m/>
    <n v="3.891"/>
    <n v="11.117142857142857"/>
    <n v="45.164999999999999"/>
    <s v="수리비용, 유지관리"/>
    <n v="0.05"/>
    <n v="0.34100000000000003"/>
    <n v="0.5"/>
    <n v="2.2999999999999998"/>
    <n v="0.7"/>
    <n v="81760"/>
    <m/>
    <m/>
    <n v="1"/>
    <n v="0.94"/>
    <n v="76854.399999999994"/>
    <n v="90442"/>
    <n v="93600"/>
    <n v="92221"/>
    <n v="90495"/>
    <n v="55224"/>
    <n v="88369"/>
    <n v="1.1498235624765791"/>
    <m/>
    <m/>
    <s v="ㅇ"/>
    <s v="모니터링, 인버터"/>
    <n v="2"/>
    <n v="2"/>
    <m/>
    <s v="ㅇ"/>
    <s v="ㅇ"/>
  </r>
  <r>
    <n v="24"/>
    <x v="23"/>
    <n v="67"/>
    <x v="2"/>
    <n v="1"/>
    <x v="21"/>
    <x v="23"/>
    <s v="마포구 월드컵북로 44길 40"/>
    <s v="헥스파워시스템㈜"/>
    <n v="10"/>
    <n v="86"/>
    <n v="8.6"/>
    <n v="0.93073593073593064"/>
    <m/>
    <n v="0"/>
    <n v="0"/>
    <n v="7.008"/>
    <m/>
    <s v="-"/>
    <s v="-"/>
    <s v="-"/>
    <s v="-"/>
    <s v="-"/>
    <n v="11680"/>
    <n v="0"/>
    <n v="0"/>
    <n v="0.88400000000000001"/>
    <n v="0.94"/>
    <n v="9705.612799999999"/>
    <n v="9759"/>
    <n v="9913"/>
    <n v="10300"/>
    <n v="8453"/>
    <n v="5222"/>
    <n v="8172"/>
    <n v="0.84198702012921856"/>
    <m/>
    <s v="태양광 집열판 노후(11년 경과)"/>
    <s v="x"/>
    <m/>
    <m/>
    <m/>
    <m/>
    <s v="ㅇ"/>
    <s v="ㅇ"/>
  </r>
  <r>
    <n v="25"/>
    <x v="24"/>
    <n v="75"/>
    <x v="2"/>
    <n v="9"/>
    <x v="22"/>
    <x v="24"/>
    <s v="중구 덕수궁길 15"/>
    <s v="ls산전"/>
    <n v="25"/>
    <n v="200"/>
    <n v="8"/>
    <n v="0.86580086580086579"/>
    <m/>
    <n v="10.8"/>
    <n v="86.4"/>
    <n v="6.7199999999999989"/>
    <s v="수리비용"/>
    <n v="4.7"/>
    <s v="-"/>
    <s v="-"/>
    <n v="6.1"/>
    <s v="-"/>
    <n v="29200"/>
    <m/>
    <m/>
    <n v="1"/>
    <n v="0.94"/>
    <n v="27448"/>
    <n v="29699"/>
    <n v="31033"/>
    <n v="31152"/>
    <n v="29025"/>
    <n v="12834"/>
    <n v="23645"/>
    <n v="0.861447099970854"/>
    <m/>
    <s v="발전량 부하연결 분전반내 공사(체력단련실 공사)로 발전중지"/>
    <s v="ㅇ"/>
    <s v="모니터링, 인버터, 접속반"/>
    <n v="10.8"/>
    <n v="4"/>
    <m/>
    <s v="ㅇ"/>
    <s v="ㅇ"/>
  </r>
  <r>
    <n v="26"/>
    <x v="25"/>
    <n v="36"/>
    <x v="2"/>
    <n v="9"/>
    <x v="22"/>
    <x v="25"/>
    <s v="중구 덕수궁길 15"/>
    <s v="ls산전"/>
    <n v="15"/>
    <n v="120"/>
    <n v="8"/>
    <n v="0.86580086580086579"/>
    <m/>
    <n v="1.3"/>
    <n v="17.333333333333332"/>
    <n v="9.2119999999999997"/>
    <s v="수리비용"/>
    <s v="-"/>
    <s v="-"/>
    <s v="-"/>
    <s v="-"/>
    <n v="1.3"/>
    <n v="17520"/>
    <m/>
    <m/>
    <n v="1"/>
    <n v="0.94"/>
    <n v="16468.8"/>
    <n v="17386"/>
    <n v="18350"/>
    <n v="18144"/>
    <n v="17165"/>
    <n v="10649"/>
    <n v="16775"/>
    <n v="1.0185927329252891"/>
    <m/>
    <m/>
    <s v="ㅇ"/>
    <s v="기타"/>
    <n v="1.3"/>
    <n v="1"/>
    <m/>
    <s v="ㅇ"/>
    <s v="ㅇ"/>
  </r>
  <r>
    <n v="27"/>
    <x v="26"/>
    <n v="82"/>
    <x v="2"/>
    <n v="4"/>
    <x v="23"/>
    <x v="26"/>
    <s v="강북구 수유동 535-380"/>
    <s v="㈜필립스"/>
    <n v="20"/>
    <n v="164"/>
    <n v="8.1999999999999993"/>
    <n v="0.88744588744588737"/>
    <m/>
    <n v="0"/>
    <n v="0"/>
    <n v="14.016"/>
    <m/>
    <s v="-"/>
    <s v="-"/>
    <s v="-"/>
    <s v="-"/>
    <s v="-"/>
    <n v="23360"/>
    <n v="35"/>
    <n v="50"/>
    <n v="0.96199999999999997"/>
    <n v="0.94"/>
    <n v="21123.980799999998"/>
    <n v="18740"/>
    <n v="20050"/>
    <n v="20858"/>
    <n v="20010"/>
    <n v="13332"/>
    <n v="19637"/>
    <n v="0.92960698013889509"/>
    <m/>
    <m/>
    <s v="x"/>
    <m/>
    <m/>
    <m/>
    <m/>
    <s v="ㅇ"/>
    <s v="ㅇ"/>
  </r>
  <r>
    <n v="28"/>
    <x v="27"/>
    <n v="99"/>
    <x v="2"/>
    <n v="6"/>
    <x v="23"/>
    <x v="27"/>
    <s v="성북구 장위동 135-2(성북구 한천로 95길7)"/>
    <s v="(주)LS산전"/>
    <n v="10"/>
    <n v="93"/>
    <n v="9.3000000000000007"/>
    <n v="1.0064935064935066"/>
    <m/>
    <n v="12"/>
    <n v="240"/>
    <n v="-4.992"/>
    <s v="수리비용"/>
    <s v="-"/>
    <s v="-"/>
    <n v="12"/>
    <s v="-"/>
    <s v="-"/>
    <n v="11680"/>
    <n v="20"/>
    <n v="50"/>
    <n v="0.94099999999999995"/>
    <n v="0.94"/>
    <n v="10331.427199999998"/>
    <n v="1087"/>
    <n v="669.6"/>
    <n v="476"/>
    <n v="2286"/>
    <n v="6902"/>
    <n v="10829"/>
    <n v="1.0481610904638616"/>
    <m/>
    <m/>
    <s v="ㅇ"/>
    <s v="기타"/>
    <n v="12"/>
    <n v="420"/>
    <s v="해당기간 정상발전"/>
    <s v="ㅇ"/>
    <s v="ㅇ"/>
  </r>
  <r>
    <n v="29"/>
    <x v="28"/>
    <n v="101"/>
    <x v="2"/>
    <n v="7"/>
    <x v="24"/>
    <x v="28"/>
    <s v="경기도 과천시 장군마을 3길30"/>
    <s v="부경엔지니어링㈜"/>
    <n v="50.4"/>
    <n v="332"/>
    <n v="6.5873015873015879"/>
    <n v="0.71291142719714151"/>
    <m/>
    <n v="0"/>
    <n v="0"/>
    <n v="35.320320000000002"/>
    <m/>
    <s v="-"/>
    <s v="-"/>
    <s v="-"/>
    <s v="-"/>
    <s v="-"/>
    <n v="58867.199999999997"/>
    <n v="30"/>
    <n v="35"/>
    <n v="0.97299999999999998"/>
    <n v="0.94"/>
    <n v="53841.118463999992"/>
    <n v="65545"/>
    <n v="63504"/>
    <n v="62951"/>
    <n v="60681"/>
    <n v="36233"/>
    <n v="58284"/>
    <n v="1.0825183737401494"/>
    <m/>
    <m/>
    <s v="x"/>
    <m/>
    <m/>
    <m/>
    <m/>
    <s v="ㅇ"/>
    <s v="ㅇ"/>
  </r>
  <r>
    <n v="30"/>
    <x v="29"/>
    <n v="92"/>
    <x v="2"/>
    <n v="6"/>
    <x v="2"/>
    <x v="29"/>
    <s v="서초구 남부순환로340길 58"/>
    <s v="ls산전"/>
    <n v="30"/>
    <n v="270"/>
    <n v="9"/>
    <n v="0.97402597402597402"/>
    <m/>
    <n v="0"/>
    <n v="0"/>
    <n v="21.024000000000001"/>
    <m/>
    <m/>
    <m/>
    <m/>
    <m/>
    <m/>
    <n v="35040"/>
    <m/>
    <m/>
    <n v="1"/>
    <n v="0.94"/>
    <n v="32937.599999999999"/>
    <n v="32672"/>
    <n v="32871"/>
    <n v="33768"/>
    <n v="32218"/>
    <n v="20846"/>
    <n v="32098"/>
    <n v="0.97450937530360449"/>
    <m/>
    <m/>
    <s v="x"/>
    <m/>
    <m/>
    <m/>
    <m/>
    <s v="ㅇ"/>
    <s v="ㅇ"/>
  </r>
  <r>
    <n v="31"/>
    <x v="30"/>
    <n v="24"/>
    <x v="2"/>
    <n v="12"/>
    <x v="25"/>
    <x v="30"/>
    <s v="서울 영등포구 노들로 11"/>
    <s v="㈜현대건설"/>
    <n v="300"/>
    <n v="2865"/>
    <n v="9.5500000000000007"/>
    <n v="1.0335497835497836"/>
    <m/>
    <n v="4.55"/>
    <n v="3.0333333333333332"/>
    <n v="205.69"/>
    <s v="소모품교체, 정기검사비용"/>
    <n v="1.8"/>
    <n v="2.75"/>
    <s v="-"/>
    <s v="-"/>
    <s v="-"/>
    <n v="350400"/>
    <n v="0"/>
    <n v="0"/>
    <n v="0.88400000000000001"/>
    <n v="0.94"/>
    <n v="291168.38399999996"/>
    <n v="293415"/>
    <n v="321405"/>
    <n v="330680"/>
    <n v="290555"/>
    <n v="182602"/>
    <n v="272963"/>
    <n v="0.93747472253031439"/>
    <m/>
    <s v="2009년 설치하여 효율이 저하되었고, 설치당시 경관 등을 고려하여 경사각이 낮게 설치"/>
    <s v="x"/>
    <m/>
    <m/>
    <m/>
    <m/>
    <s v="ㅇ"/>
    <s v="ㅇ"/>
  </r>
  <r>
    <n v="36"/>
    <x v="31"/>
    <n v="47"/>
    <x v="2"/>
    <n v="12"/>
    <x v="26"/>
    <x v="31"/>
    <s v="광진구 자양동 427-1"/>
    <s v="삼광산전"/>
    <n v="20"/>
    <n v="137"/>
    <n v="6.85"/>
    <n v="0.7413419913419913"/>
    <m/>
    <n v="3"/>
    <n v="30"/>
    <n v="11.016"/>
    <s v="수리비용"/>
    <s v="-"/>
    <s v="-"/>
    <s v="-"/>
    <s v="-"/>
    <n v="3"/>
    <n v="23360"/>
    <m/>
    <m/>
    <n v="1"/>
    <n v="0.94"/>
    <n v="21958.399999999998"/>
    <n v="24698"/>
    <n v="25978"/>
    <n v="9090"/>
    <n v="25049"/>
    <n v="15030"/>
    <n v="23393"/>
    <n v="1.0653326289711456"/>
    <m/>
    <m/>
    <s v="ㅇ"/>
    <s v="인버터"/>
    <n v="3"/>
    <n v="24"/>
    <m/>
    <s v="ㅇ"/>
    <s v="ㅇ"/>
  </r>
  <r>
    <n v="34"/>
    <x v="32"/>
    <n v="87"/>
    <x v="2"/>
    <n v="12"/>
    <x v="26"/>
    <x v="32"/>
    <s v="마포구 망원동 205-4"/>
    <s v="삼광산전"/>
    <n v="15"/>
    <n v="88"/>
    <n v="5.8666666666666663"/>
    <n v="0.63492063492063489"/>
    <m/>
    <n v="0"/>
    <n v="0"/>
    <n v="10.512"/>
    <m/>
    <s v="-"/>
    <s v="-"/>
    <s v="-"/>
    <s v="-"/>
    <s v="-"/>
    <n v="17520"/>
    <m/>
    <m/>
    <n v="1"/>
    <n v="0.94"/>
    <n v="16468.8"/>
    <n v="16694"/>
    <n v="16768"/>
    <n v="17994"/>
    <n v="16126"/>
    <n v="11001"/>
    <n v="15862"/>
    <n v="0.96315457106771596"/>
    <m/>
    <m/>
    <s v="x"/>
    <m/>
    <m/>
    <m/>
    <m/>
    <s v="ㅇ"/>
    <s v="ㅇ"/>
  </r>
  <r>
    <n v="33"/>
    <x v="33"/>
    <n v="45"/>
    <x v="2"/>
    <n v="12"/>
    <x v="26"/>
    <x v="33"/>
    <s v="서초구 반포동 115-5"/>
    <s v="삼광산전"/>
    <n v="20"/>
    <n v="41"/>
    <n v="2.0499999999999998"/>
    <n v="0.22186147186147184"/>
    <m/>
    <n v="3"/>
    <n v="30"/>
    <n v="11.016"/>
    <s v="수리비용"/>
    <s v="-"/>
    <s v="-"/>
    <s v="-"/>
    <s v="-"/>
    <n v="3"/>
    <n v="23360"/>
    <m/>
    <m/>
    <n v="1"/>
    <n v="0.94"/>
    <n v="21958.399999999998"/>
    <n v="9418"/>
    <n v="23827"/>
    <n v="11863"/>
    <n v="10264"/>
    <n v="8922"/>
    <n v="19980"/>
    <n v="0.90990236082774711"/>
    <m/>
    <m/>
    <s v="ㅇ"/>
    <s v="인버터"/>
    <n v="3"/>
    <n v="24"/>
    <m/>
    <s v="ㅇ"/>
    <s v="ㅇ"/>
  </r>
  <r>
    <n v="35"/>
    <x v="34"/>
    <n v="108"/>
    <x v="2"/>
    <n v="12"/>
    <x v="26"/>
    <x v="34"/>
    <s v="영등포구 당산동 98-1"/>
    <s v="삼광산전"/>
    <n v="15"/>
    <n v="88"/>
    <n v="5.8666666666666663"/>
    <n v="0.63492063492063489"/>
    <m/>
    <n v="0"/>
    <n v="0"/>
    <n v="10.512"/>
    <m/>
    <s v="-"/>
    <s v="-"/>
    <s v="-"/>
    <s v="-"/>
    <s v="-"/>
    <n v="17520"/>
    <m/>
    <m/>
    <n v="1"/>
    <n v="0.94"/>
    <n v="16468.8"/>
    <n v="10648"/>
    <n v="25231"/>
    <n v="22716"/>
    <s v="-"/>
    <n v="11375"/>
    <n v="19500"/>
    <n v="1.1840571262022734"/>
    <m/>
    <m/>
    <s v="x"/>
    <m/>
    <m/>
    <m/>
    <m/>
    <s v="ㅇ"/>
    <s v="ㅇ"/>
  </r>
  <r>
    <n v="37"/>
    <x v="35"/>
    <n v="94"/>
    <x v="2"/>
    <n v="12"/>
    <x v="26"/>
    <x v="35"/>
    <s v="용산구 이촌동 302017"/>
    <s v="삼광산전"/>
    <n v="10"/>
    <n v="58"/>
    <n v="5.8"/>
    <n v="0.62770562770562766"/>
    <m/>
    <n v="0"/>
    <n v="0"/>
    <n v="7.008"/>
    <m/>
    <s v="-"/>
    <s v="-"/>
    <s v="-"/>
    <s v="-"/>
    <s v="-"/>
    <n v="11680"/>
    <m/>
    <m/>
    <n v="1"/>
    <n v="0.94"/>
    <n v="10979.199999999999"/>
    <n v="6251"/>
    <n v="14358"/>
    <n v="10692"/>
    <n v="10342"/>
    <n v="5985"/>
    <n v="10947"/>
    <n v="0.99706718157971452"/>
    <m/>
    <m/>
    <s v="x"/>
    <m/>
    <m/>
    <m/>
    <m/>
    <s v="ㅇ"/>
    <s v="ㅇ"/>
  </r>
  <r>
    <n v="38"/>
    <x v="36"/>
    <n v="30"/>
    <x v="2"/>
    <n v="12"/>
    <x v="26"/>
    <x v="36"/>
    <s v="송파구 잠실동 1-1"/>
    <s v="삼광산전"/>
    <n v="10"/>
    <n v="67"/>
    <n v="6.7"/>
    <n v="0.72510822510822515"/>
    <m/>
    <n v="1"/>
    <n v="20"/>
    <n v="6.008"/>
    <s v="수리비용"/>
    <s v="-"/>
    <s v="-"/>
    <s v="-"/>
    <s v="-"/>
    <n v="1"/>
    <n v="11680"/>
    <n v="20"/>
    <n v="-20"/>
    <n v="0.97399999999999998"/>
    <n v="0.94"/>
    <n v="10693.7408"/>
    <n v="11469"/>
    <n v="11932"/>
    <n v="10752"/>
    <n v="11213"/>
    <n v="1809"/>
    <n v="6033"/>
    <n v="0.5641617945331161"/>
    <s v="건물리모델링"/>
    <s v="건축물 리모델링 공사 시행으로 4개월간 가동중지(2020. 2. ~ 2020. 6.)"/>
    <s v="ㅇ"/>
    <s v="인버터"/>
    <n v="1"/>
    <n v="1"/>
    <m/>
    <s v="ㅇ"/>
    <s v="ㅇ"/>
  </r>
  <r>
    <n v="32"/>
    <x v="37"/>
    <n v="31"/>
    <x v="2"/>
    <n v="12"/>
    <x v="26"/>
    <x v="37"/>
    <s v="서초구 잠원로 221-124"/>
    <s v="삼광산전"/>
    <n v="15"/>
    <n v="88"/>
    <n v="5.8666666666666663"/>
    <n v="0.63492063492063489"/>
    <m/>
    <n v="1"/>
    <n v="13.333333333333332"/>
    <n v="9.5120000000000005"/>
    <s v="수리비용"/>
    <s v="-"/>
    <s v="-"/>
    <s v="-"/>
    <s v="-"/>
    <n v="1"/>
    <n v="17520"/>
    <m/>
    <m/>
    <n v="1"/>
    <n v="0.94"/>
    <n v="16468.8"/>
    <n v="7326"/>
    <n v="18126"/>
    <n v="17558"/>
    <n v="16771"/>
    <n v="10603"/>
    <n v="13751"/>
    <n v="0.83497279704653649"/>
    <m/>
    <s v="9.25. ~ 12.23. 리모델링 공사로 가동중지"/>
    <s v="ㅇ"/>
    <s v="인버터"/>
    <n v="1"/>
    <n v="24"/>
    <m/>
    <s v="ㅇ"/>
    <s v="ㅇ"/>
  </r>
  <r>
    <n v="39"/>
    <x v="38"/>
    <n v="48"/>
    <x v="2"/>
    <n v="12"/>
    <x v="26"/>
    <x v="38"/>
    <s v="강동구 암사동 637-6"/>
    <s v="삼광산전"/>
    <n v="10"/>
    <n v="67"/>
    <n v="6.7"/>
    <n v="0.72510822510822515"/>
    <m/>
    <n v="3"/>
    <n v="60"/>
    <n v="4.008"/>
    <s v="수리비용"/>
    <s v="-"/>
    <s v="-"/>
    <s v="-"/>
    <s v="-"/>
    <n v="3"/>
    <n v="11680"/>
    <m/>
    <m/>
    <n v="1"/>
    <n v="0.94"/>
    <n v="10979.199999999999"/>
    <n v="12564"/>
    <n v="13574"/>
    <n v="13571"/>
    <n v="4202"/>
    <n v="5386"/>
    <n v="13603"/>
    <n v="1.238979160594579"/>
    <m/>
    <m/>
    <s v="ㅇ"/>
    <s v="인버터"/>
    <n v="3"/>
    <n v="24"/>
    <m/>
    <s v="ㅇ"/>
    <s v="ㅇ"/>
  </r>
  <r>
    <n v="40"/>
    <x v="39"/>
    <n v="55"/>
    <x v="2"/>
    <n v="6"/>
    <x v="27"/>
    <x v="39"/>
    <s v="송파구 잠실동 10"/>
    <s v="㈜에디슨솔라이텍"/>
    <n v="40"/>
    <n v="319"/>
    <n v="7.9749999999999996"/>
    <n v="0.86309523809523803"/>
    <m/>
    <n v="4.7389999999999999"/>
    <n v="23.695"/>
    <n v="23.292999999999999"/>
    <s v="수리비용"/>
    <s v="-"/>
    <n v="2.2669999999999999"/>
    <n v="2.472"/>
    <s v="-"/>
    <s v="-"/>
    <n v="46720"/>
    <n v="46"/>
    <n v="0"/>
    <n v="0.995"/>
    <n v="0.94"/>
    <n v="43697.215999999993"/>
    <n v="32120"/>
    <n v="40311"/>
    <n v="39040"/>
    <n v="52418"/>
    <n v="28357"/>
    <n v="48441"/>
    <n v="1.1085603256738372"/>
    <m/>
    <m/>
    <s v="ㅇ"/>
    <s v="모니터링, 인버터"/>
    <n v="4.7389999999999999"/>
    <n v="136"/>
    <s v="2016/12~2017/4_x000a_2018/10~2018/11"/>
    <s v="ㅇ"/>
    <s v="ㅇ"/>
  </r>
  <r>
    <n v="41"/>
    <x v="40"/>
    <n v="28"/>
    <x v="2"/>
    <n v="9"/>
    <x v="28"/>
    <x v="40"/>
    <s v="마포구 가양대로 203"/>
    <s v="(주)다울이엔씨"/>
    <n v="70"/>
    <n v="196"/>
    <n v="2.8"/>
    <n v="0.30303030303030298"/>
    <m/>
    <n v="0.7"/>
    <n v="2"/>
    <n v="48.355999999999995"/>
    <m/>
    <s v="-"/>
    <s v="-"/>
    <s v="-"/>
    <s v="-"/>
    <n v="0.7"/>
    <n v="81760"/>
    <m/>
    <m/>
    <n v="1"/>
    <n v="0.94"/>
    <n v="76854.399999999994"/>
    <n v="77453"/>
    <n v="76535"/>
    <n v="78394"/>
    <n v="69627"/>
    <n v="46844.160000000003"/>
    <n v="71922"/>
    <n v="0.93582150143648257"/>
    <m/>
    <m/>
    <s v="ㅇ"/>
    <s v="인버터"/>
    <n v="0.71499999999999997"/>
    <n v="1"/>
    <m/>
    <s v="ㅇ"/>
    <s v="ㅇ"/>
  </r>
  <r>
    <n v="42"/>
    <x v="41"/>
    <n v="46"/>
    <x v="2"/>
    <n v="10"/>
    <x v="29"/>
    <x v="41"/>
    <s v="강북구 월계로 173"/>
    <s v="ls산전"/>
    <n v="70"/>
    <n v="480"/>
    <n v="6.8571428571428568"/>
    <n v="0.74211502782931349"/>
    <m/>
    <n v="3"/>
    <n v="8.5714285714285712"/>
    <n v="46.055999999999997"/>
    <s v="수리비용"/>
    <s v="-"/>
    <s v="-"/>
    <s v="-"/>
    <s v="-"/>
    <n v="3"/>
    <n v="81760"/>
    <n v="30"/>
    <n v="-10"/>
    <n v="0.997"/>
    <n v="0.94"/>
    <n v="76623.83679999999"/>
    <n v="81200"/>
    <n v="81000"/>
    <n v="81263"/>
    <n v="72197"/>
    <n v="35337"/>
    <n v="81500"/>
    <n v="1.0636376799132043"/>
    <m/>
    <m/>
    <s v="ㅇ"/>
    <s v="모듈"/>
    <n v="3"/>
    <n v="2"/>
    <m/>
    <s v="ㅇ"/>
    <s v="ㅇ"/>
  </r>
  <r>
    <n v="43"/>
    <x v="42"/>
    <n v="109"/>
    <x v="2"/>
    <n v="10"/>
    <x v="29"/>
    <x v="42"/>
    <s v="도봉구 마들로 916"/>
    <s v="ls산전"/>
    <n v="25"/>
    <n v="214"/>
    <n v="8.56"/>
    <n v="0.92640692640692646"/>
    <m/>
    <n v="0"/>
    <n v="0"/>
    <n v="17.52"/>
    <m/>
    <s v="-"/>
    <s v="-"/>
    <s v="-"/>
    <s v="-"/>
    <s v="-"/>
    <n v="29200"/>
    <n v="15"/>
    <n v="-50"/>
    <n v="0.93200000000000005"/>
    <n v="0.94"/>
    <n v="25581.536"/>
    <n v="29000"/>
    <n v="29400"/>
    <n v="28747"/>
    <n v="28139"/>
    <n v="13996"/>
    <n v="31600"/>
    <n v="1.2352659355560198"/>
    <m/>
    <m/>
    <s v="x"/>
    <m/>
    <m/>
    <m/>
    <m/>
    <s v="ㅇ"/>
    <s v="ㅇ"/>
  </r>
  <r>
    <n v="44"/>
    <x v="43"/>
    <n v="63"/>
    <x v="2"/>
    <n v="9"/>
    <x v="30"/>
    <x v="43"/>
    <s v="마포구 상암동 478-1"/>
    <s v="-"/>
    <n v="71"/>
    <n v="576"/>
    <n v="8.112676056338028"/>
    <n v="0.87799524419242725"/>
    <m/>
    <n v="0"/>
    <n v="0"/>
    <n v="49.756799999999998"/>
    <m/>
    <m/>
    <m/>
    <m/>
    <m/>
    <m/>
    <n v="82928"/>
    <m/>
    <m/>
    <n v="1"/>
    <n v="0.94"/>
    <n v="77952.319999999992"/>
    <n v="81191"/>
    <n v="86326"/>
    <n v="92376"/>
    <n v="42190"/>
    <n v="45000"/>
    <n v="45000"/>
    <n v="0.57727595535322107"/>
    <s v="원인미상"/>
    <s v="모니터링 통신이상 추정"/>
    <s v="x"/>
    <m/>
    <m/>
    <m/>
    <m/>
    <s v="ㅇ"/>
    <s v="ㅇ"/>
  </r>
  <r>
    <n v="46"/>
    <x v="44"/>
    <n v="77"/>
    <x v="2"/>
    <n v="11"/>
    <x v="30"/>
    <x v="44"/>
    <s v="영등포구 당산동 1"/>
    <s v="-"/>
    <n v="35"/>
    <n v="327"/>
    <n v="9.3428571428571434"/>
    <n v="1.0111317254174397"/>
    <m/>
    <n v="0"/>
    <n v="0"/>
    <n v="24.527999999999999"/>
    <m/>
    <s v="-"/>
    <s v="-"/>
    <s v="-"/>
    <s v="-"/>
    <s v="-"/>
    <n v="40880"/>
    <m/>
    <m/>
    <n v="1"/>
    <n v="0.94"/>
    <n v="38427.199999999997"/>
    <n v="0"/>
    <n v="3867"/>
    <n v="41334"/>
    <n v="37704"/>
    <n v="23592"/>
    <n v="34982"/>
    <n v="0.91034475579797647"/>
    <m/>
    <m/>
    <s v="x"/>
    <m/>
    <m/>
    <m/>
    <m/>
    <s v="ㅇ"/>
    <s v="ㅇ"/>
  </r>
  <r>
    <n v="45"/>
    <x v="45"/>
    <n v="62"/>
    <x v="2"/>
    <n v="10"/>
    <x v="30"/>
    <x v="45"/>
    <s v="마포구 성산동 390-1"/>
    <s v="-"/>
    <n v="66"/>
    <n v="577"/>
    <n v="8.7424242424242422"/>
    <n v="0.94614980978617336"/>
    <m/>
    <n v="0"/>
    <n v="0"/>
    <n v="46.252800000000001"/>
    <m/>
    <m/>
    <m/>
    <m/>
    <m/>
    <m/>
    <n v="77088"/>
    <n v="40"/>
    <n v="80"/>
    <n v="0.84899999999999998"/>
    <n v="0.94"/>
    <n v="61520.849279999988"/>
    <n v="42704"/>
    <n v="39768"/>
    <n v="38300"/>
    <n v="35963"/>
    <n v="23304"/>
    <n v="32699"/>
    <n v="0.53151086798520875"/>
    <s v="주변환경 변화에 따른 음영"/>
    <s v="공원 보도에 그늘막 용도로 설치된 태양광 시설로서, 태양광 방위각과 경사각 설치여건이 좋지않고 보도변 태양광과 인접하여 식재된 수목으로 인해  음영이 항시 발생, 하루 평균 일조시간 5시간 이하로 추정"/>
    <s v="x"/>
    <m/>
    <m/>
    <m/>
    <m/>
    <s v="ㅇ"/>
    <s v="ㅇ"/>
  </r>
  <r>
    <n v="47"/>
    <x v="46"/>
    <n v="68"/>
    <x v="2"/>
    <n v="11"/>
    <x v="30"/>
    <x v="46"/>
    <s v="양천구 신월3동 남부순환로64길 20"/>
    <s v="인필스테크놀리지"/>
    <n v="20"/>
    <s v="-"/>
    <s v="-"/>
    <s v="-"/>
    <s v="자료없음"/>
    <n v="0"/>
    <n v="0"/>
    <n v="14.016"/>
    <m/>
    <m/>
    <m/>
    <m/>
    <m/>
    <m/>
    <n v="23360"/>
    <n v="10"/>
    <n v="70"/>
    <n v="0.90200000000000002"/>
    <n v="0.94"/>
    <n v="19806.4768"/>
    <n v="19320"/>
    <n v="19210"/>
    <n v="19360"/>
    <n v="17940"/>
    <n v="11710"/>
    <n v="17060"/>
    <n v="0.86133440956041207"/>
    <m/>
    <s v="태양광 방위각과 경사각 설치여건이 좋지않고 건물 주변 식재된 수목으로 인해  음영 발생)"/>
    <s v="x"/>
    <m/>
    <m/>
    <m/>
    <m/>
    <s v="ㅇ"/>
    <s v="ㅇ"/>
  </r>
  <r>
    <n v="48"/>
    <x v="47"/>
    <n v="64"/>
    <x v="2"/>
    <n v="2"/>
    <x v="5"/>
    <x v="47"/>
    <s v="강서구 개화동로8길 17"/>
    <s v="ls산전"/>
    <n v="55"/>
    <n v="420"/>
    <n v="7.6363636363636367"/>
    <n v="0.82644628099173556"/>
    <m/>
    <n v="7.3"/>
    <n v="26.545454545454547"/>
    <n v="31.243999999999996"/>
    <s v="소모품교체 등"/>
    <n v="0.5"/>
    <n v="0.5"/>
    <n v="1.8"/>
    <n v="4"/>
    <n v="0.5"/>
    <n v="64240"/>
    <n v="45"/>
    <n v="0"/>
    <n v="0.98599999999999999"/>
    <n v="0.94"/>
    <n v="59540.201599999993"/>
    <n v="44176"/>
    <n v="43007"/>
    <n v="40880"/>
    <n v="37927"/>
    <n v="22294"/>
    <n v="35517"/>
    <n v="0.59652132585321993"/>
    <s v="시설노후"/>
    <s v="18.3월 분전반 차단기 불량으로 수리, 19.10월 판넬 접지 보강, 20년 소모품 교체"/>
    <s v="ㅇ"/>
    <s v="기타"/>
    <n v="0.5"/>
    <n v="1"/>
    <m/>
    <s v="ㅇ"/>
    <s v="ㅇ"/>
  </r>
  <r>
    <n v="49"/>
    <x v="48"/>
    <n v="37"/>
    <x v="2"/>
    <n v="12"/>
    <x v="31"/>
    <x v="48"/>
    <s v="강서구 발산로40"/>
    <s v="LG하우시스"/>
    <n v="18.05"/>
    <n v="189"/>
    <n v="10.470914127423823"/>
    <n v="1.1332158146562579"/>
    <s v="BIPV"/>
    <n v="1.43"/>
    <n v="15.844875346260386"/>
    <n v="11.219440000000001"/>
    <s v="수리비용"/>
    <s v="-"/>
    <s v="-"/>
    <s v="-"/>
    <n v="1.43"/>
    <s v="-"/>
    <n v="21082.400000000001"/>
    <n v="30"/>
    <n v="-90"/>
    <n v="0.84"/>
    <n v="0.94"/>
    <n v="16646.663039999999"/>
    <n v="13439"/>
    <n v="12573"/>
    <n v="11189"/>
    <n v="9430"/>
    <n v="5022"/>
    <n v="6920"/>
    <n v="0.4156989291710923"/>
    <s v=" 시설노후"/>
    <s v="2009년 BIPV 초창기 모델로 부품단종 및 경년에 따른 발전효율 저하"/>
    <s v="ㅇ"/>
    <s v="기타"/>
    <n v="1.43"/>
    <n v="1"/>
    <m/>
    <s v="ㅇ"/>
    <s v="ㅇ"/>
  </r>
  <r>
    <n v="55"/>
    <x v="49"/>
    <n v="112"/>
    <x v="2"/>
    <n v="1"/>
    <x v="6"/>
    <x v="49"/>
    <s v="노원구 월계로 372"/>
    <s v="㈜에스에너지"/>
    <n v="50"/>
    <n v="462"/>
    <n v="9.24"/>
    <n v="1"/>
    <m/>
    <n v="0"/>
    <n v="0"/>
    <n v="35.04"/>
    <m/>
    <s v="-"/>
    <s v="-"/>
    <s v="-"/>
    <s v="-"/>
    <s v="-"/>
    <n v="58400"/>
    <m/>
    <m/>
    <n v="1"/>
    <n v="0.94"/>
    <n v="54896"/>
    <n v="60074"/>
    <n v="64320"/>
    <n v="42583"/>
    <n v="57497"/>
    <n v="30636"/>
    <n v="77369"/>
    <n v="1.4093740891868261"/>
    <m/>
    <m/>
    <s v="x"/>
    <m/>
    <m/>
    <m/>
    <m/>
    <s v="ㅇ"/>
    <s v="ㅇ"/>
  </r>
  <r>
    <n v="56"/>
    <x v="50"/>
    <n v="96"/>
    <x v="2"/>
    <n v="1"/>
    <x v="6"/>
    <x v="50"/>
    <s v="노원구 덕릉로 662"/>
    <s v="㈜에스에너지"/>
    <n v="50"/>
    <n v="462"/>
    <n v="9.24"/>
    <n v="1"/>
    <m/>
    <n v="0"/>
    <n v="0"/>
    <n v="35.04"/>
    <m/>
    <s v="-"/>
    <s v="-"/>
    <s v="-"/>
    <s v="-"/>
    <s v="-"/>
    <n v="58400"/>
    <m/>
    <m/>
    <n v="1"/>
    <n v="0.94"/>
    <n v="54896"/>
    <n v="64227"/>
    <n v="69627"/>
    <n v="66252"/>
    <n v="65159"/>
    <n v="36406"/>
    <n v="57050"/>
    <n v="1.0392378315359954"/>
    <m/>
    <m/>
    <s v="x"/>
    <m/>
    <m/>
    <m/>
    <m/>
    <s v="ㅇ"/>
    <s v="ㅇ"/>
  </r>
  <r>
    <n v="50"/>
    <x v="51"/>
    <n v="78"/>
    <x v="2"/>
    <n v="6"/>
    <x v="6"/>
    <x v="51"/>
    <s v="강서구 가양2동 1478"/>
    <s v="㈜이원이엔씨"/>
    <n v="50"/>
    <n v="351"/>
    <n v="7.02"/>
    <n v="0.75974025974025972"/>
    <m/>
    <n v="0"/>
    <n v="0"/>
    <n v="35.04"/>
    <m/>
    <s v="-"/>
    <s v="-"/>
    <s v="-"/>
    <s v="-"/>
    <s v="-"/>
    <n v="58400"/>
    <m/>
    <m/>
    <n v="1"/>
    <n v="0.94"/>
    <n v="54896"/>
    <n v="43763"/>
    <n v="46537"/>
    <n v="45521"/>
    <n v="42911"/>
    <n v="26351"/>
    <n v="50156"/>
    <n v="0.91365491110463426"/>
    <m/>
    <m/>
    <s v="x"/>
    <m/>
    <m/>
    <m/>
    <m/>
    <s v="ㅇ"/>
    <s v="ㅇ"/>
  </r>
  <r>
    <n v="51"/>
    <x v="52"/>
    <n v="76"/>
    <x v="2"/>
    <n v="6"/>
    <x v="6"/>
    <x v="52"/>
    <s v="강서구 가양2동 1481"/>
    <s v="㈜엔닉스"/>
    <n v="50"/>
    <n v="348"/>
    <n v="6.96"/>
    <n v="0.75324675324675328"/>
    <m/>
    <n v="0"/>
    <n v="0"/>
    <n v="35.04"/>
    <m/>
    <s v="-"/>
    <s v="-"/>
    <s v="-"/>
    <s v="-"/>
    <s v="-"/>
    <n v="58400"/>
    <m/>
    <m/>
    <n v="1"/>
    <n v="0.94"/>
    <n v="54896"/>
    <n v="44762"/>
    <n v="50051"/>
    <n v="47397"/>
    <n v="43959"/>
    <n v="26458"/>
    <n v="49956"/>
    <n v="0.91001165840862719"/>
    <m/>
    <m/>
    <s v="x"/>
    <m/>
    <m/>
    <m/>
    <m/>
    <s v="ㅇ"/>
    <s v="ㅇ"/>
  </r>
  <r>
    <n v="52"/>
    <x v="53"/>
    <n v="110"/>
    <x v="2"/>
    <n v="6"/>
    <x v="6"/>
    <x v="53"/>
    <s v="노원구 공릉3동 708"/>
    <s v="㈜엔닉스"/>
    <n v="50"/>
    <n v="371"/>
    <n v="7.42"/>
    <n v="0.80303030303030298"/>
    <m/>
    <n v="0"/>
    <n v="0"/>
    <n v="35.04"/>
    <m/>
    <s v="-"/>
    <s v="-"/>
    <s v="-"/>
    <s v="-"/>
    <s v="-"/>
    <n v="58400"/>
    <m/>
    <m/>
    <n v="1"/>
    <n v="0.94"/>
    <n v="54896"/>
    <n v="70668"/>
    <n v="78318"/>
    <n v="69952"/>
    <n v="68425"/>
    <n v="37637"/>
    <n v="68448"/>
    <n v="1.246866802681434"/>
    <m/>
    <m/>
    <s v="x"/>
    <m/>
    <m/>
    <m/>
    <m/>
    <s v="ㅇ"/>
    <s v="ㅇ"/>
  </r>
  <r>
    <n v="53"/>
    <x v="54"/>
    <n v="104"/>
    <x v="2"/>
    <n v="6"/>
    <x v="6"/>
    <x v="54"/>
    <s v="강서구 방화3동 851"/>
    <s v="㈜이원이엔씨"/>
    <n v="50"/>
    <n v="387"/>
    <n v="7.74"/>
    <n v="0.83766233766233766"/>
    <m/>
    <n v="0"/>
    <n v="0"/>
    <n v="35.04"/>
    <m/>
    <s v="-"/>
    <s v="-"/>
    <s v="-"/>
    <s v="-"/>
    <s v="-"/>
    <n v="58400"/>
    <m/>
    <m/>
    <n v="1"/>
    <n v="0.94"/>
    <n v="54896"/>
    <n v="61631"/>
    <n v="61555"/>
    <n v="58531"/>
    <n v="61739"/>
    <n v="36014"/>
    <n v="60804"/>
    <n v="1.1076216846400466"/>
    <m/>
    <m/>
    <s v="x"/>
    <m/>
    <m/>
    <m/>
    <m/>
    <s v="ㅇ"/>
    <s v="ㅇ"/>
  </r>
  <r>
    <n v="54"/>
    <x v="55"/>
    <n v="111"/>
    <x v="2"/>
    <n v="6"/>
    <x v="6"/>
    <x v="55"/>
    <s v="강서구 방화3동 839"/>
    <s v="㈜이원이엔씨"/>
    <n v="50"/>
    <n v="387"/>
    <n v="7.74"/>
    <n v="0.83766233766233766"/>
    <m/>
    <n v="0"/>
    <n v="0"/>
    <n v="35.04"/>
    <m/>
    <s v="-"/>
    <s v="-"/>
    <s v="-"/>
    <s v="-"/>
    <s v="-"/>
    <n v="58400"/>
    <m/>
    <m/>
    <n v="1"/>
    <n v="0.94"/>
    <n v="54896"/>
    <n v="77601"/>
    <n v="65691"/>
    <n v="76470"/>
    <n v="70650"/>
    <n v="41983"/>
    <n v="68491"/>
    <n v="1.2476501020110755"/>
    <m/>
    <m/>
    <s v="x"/>
    <m/>
    <m/>
    <m/>
    <m/>
    <s v="ㅇ"/>
    <s v="ㅇ"/>
  </r>
  <r>
    <n v="57"/>
    <x v="56"/>
    <n v="44"/>
    <x v="2"/>
    <n v="5"/>
    <x v="32"/>
    <x v="56"/>
    <s v="양천구 목동서로 20"/>
    <s v="㈜다쓰테크이엔씨"/>
    <n v="11.742000000000001"/>
    <n v="202"/>
    <n v="17.2032021802078"/>
    <n v="1.8618184177714068"/>
    <s v="BIPV"/>
    <n v="2.8"/>
    <n v="47.692045648100823"/>
    <n v="5.4287935999999997"/>
    <s v="수리비용"/>
    <s v="-"/>
    <s v="-"/>
    <s v="-"/>
    <n v="2.8"/>
    <s v="-"/>
    <n v="13714.656000000001"/>
    <n v="90"/>
    <n v="0"/>
    <n v="0.68300000000000005"/>
    <n v="0.94"/>
    <n v="8805.0834451200008"/>
    <n v="8432"/>
    <n v="8530"/>
    <n v="8677"/>
    <n v="10404"/>
    <n v="7378"/>
    <n v="8493"/>
    <n v="0.96455644661800843"/>
    <m/>
    <m/>
    <s v="ㅇ"/>
    <s v="인버터"/>
    <n v="2.8"/>
    <n v="1"/>
    <m/>
    <s v="ㅇ"/>
    <s v="ㅇ"/>
  </r>
  <r>
    <n v="58"/>
    <x v="57"/>
    <n v="93"/>
    <x v="2"/>
    <n v="6"/>
    <x v="33"/>
    <x v="57"/>
    <s v="종로구 무악동 79"/>
    <s v="㈜텐코리아"/>
    <n v="10"/>
    <n v="78"/>
    <n v="7.8"/>
    <n v="0.8441558441558441"/>
    <m/>
    <n v="0"/>
    <n v="0"/>
    <n v="7.008"/>
    <m/>
    <s v="-"/>
    <s v="-"/>
    <s v="-"/>
    <s v="-"/>
    <s v="-"/>
    <n v="11680"/>
    <m/>
    <m/>
    <n v="1"/>
    <n v="0.94"/>
    <n v="10979.199999999999"/>
    <n v="11314"/>
    <n v="11017"/>
    <n v="8858"/>
    <n v="8946"/>
    <n v="6978"/>
    <n v="10929"/>
    <n v="0.9954277178665113"/>
    <m/>
    <m/>
    <s v="x"/>
    <m/>
    <m/>
    <m/>
    <m/>
    <s v="ㅇ"/>
    <s v="ㅇ"/>
  </r>
  <r>
    <n v="59"/>
    <x v="58"/>
    <n v="69"/>
    <x v="2"/>
    <n v="6"/>
    <x v="33"/>
    <x v="58"/>
    <s v="종로구 삼청동 105-1"/>
    <s v="LS산전㈜"/>
    <n v="10"/>
    <n v="87"/>
    <n v="8.6999999999999993"/>
    <n v="0.94155844155844148"/>
    <m/>
    <n v="0"/>
    <n v="0"/>
    <n v="7.008"/>
    <m/>
    <s v="-"/>
    <s v="-"/>
    <s v="-"/>
    <s v="-"/>
    <s v="-"/>
    <n v="11680"/>
    <m/>
    <m/>
    <n v="1"/>
    <n v="0.94"/>
    <n v="10979.199999999999"/>
    <n v="9784"/>
    <n v="10213"/>
    <n v="10200"/>
    <n v="9887"/>
    <n v="5240"/>
    <n v="9468.874598070739"/>
    <n v="0.86243757268933441"/>
    <m/>
    <m/>
    <s v="x"/>
    <m/>
    <m/>
    <m/>
    <m/>
    <s v="ㅇ"/>
    <s v="ㅇ"/>
  </r>
  <r>
    <n v="60"/>
    <x v="59"/>
    <n v="79"/>
    <x v="2"/>
    <n v="6"/>
    <x v="33"/>
    <x v="59"/>
    <s v="종로구 이화동25-1"/>
    <s v="㈜텐코리아"/>
    <n v="10"/>
    <n v="80"/>
    <n v="8"/>
    <n v="0.86580086580086579"/>
    <m/>
    <n v="0"/>
    <n v="0"/>
    <n v="7.008"/>
    <m/>
    <s v="-"/>
    <s v="-"/>
    <s v="-"/>
    <s v="-"/>
    <s v="-"/>
    <n v="11680"/>
    <m/>
    <m/>
    <n v="1"/>
    <n v="0.94"/>
    <n v="10979.199999999999"/>
    <n v="10144"/>
    <n v="10683"/>
    <n v="10571"/>
    <n v="10644"/>
    <n v="5779"/>
    <n v="10038"/>
    <n v="0.91427426406295553"/>
    <m/>
    <m/>
    <s v="x"/>
    <m/>
    <m/>
    <m/>
    <m/>
    <s v="ㅇ"/>
    <s v="ㅇ"/>
  </r>
  <r>
    <n v="61"/>
    <x v="60"/>
    <n v="107"/>
    <x v="2"/>
    <n v="6"/>
    <x v="33"/>
    <x v="60"/>
    <s v="종로구 창신동 23-344"/>
    <s v="㈜텐코리아"/>
    <n v="10"/>
    <n v="78"/>
    <n v="7.8"/>
    <n v="0.8441558441558441"/>
    <m/>
    <n v="0"/>
    <n v="0"/>
    <n v="7.008"/>
    <m/>
    <s v="-"/>
    <s v="-"/>
    <s v="-"/>
    <s v="-"/>
    <s v="-"/>
    <n v="11680"/>
    <m/>
    <m/>
    <n v="1"/>
    <n v="0.94"/>
    <n v="10979.199999999999"/>
    <n v="11434"/>
    <n v="11923"/>
    <n v="7814"/>
    <n v="10797"/>
    <n v="5682"/>
    <n v="12660"/>
    <n v="1.153089478286214"/>
    <m/>
    <m/>
    <s v="x"/>
    <m/>
    <m/>
    <m/>
    <m/>
    <s v="ㅇ"/>
    <s v="ㅇ"/>
  </r>
  <r>
    <n v="62"/>
    <x v="61"/>
    <n v="106"/>
    <x v="2"/>
    <n v="6"/>
    <x v="33"/>
    <x v="61"/>
    <s v="종로구 청운동 6-3"/>
    <s v="㈜텐코리아"/>
    <n v="5"/>
    <n v="41"/>
    <n v="8.1999999999999993"/>
    <n v="0.88744588744588737"/>
    <m/>
    <n v="0"/>
    <n v="0"/>
    <n v="3.504"/>
    <m/>
    <s v="-"/>
    <s v="-"/>
    <s v="-"/>
    <s v="-"/>
    <s v="-"/>
    <n v="5840"/>
    <m/>
    <m/>
    <n v="1"/>
    <n v="0.94"/>
    <n v="5489.5999999999995"/>
    <n v="0"/>
    <n v="0"/>
    <n v="0"/>
    <n v="2143"/>
    <n v="2940"/>
    <n v="6264.27"/>
    <n v="1.1411159283007872"/>
    <m/>
    <m/>
    <s v="x"/>
    <m/>
    <m/>
    <m/>
    <m/>
    <s v="ㅇ"/>
    <s v="ㅇ"/>
  </r>
  <r>
    <n v="63"/>
    <x v="62"/>
    <n v="29"/>
    <x v="2"/>
    <n v="6"/>
    <x v="33"/>
    <x v="62"/>
    <s v="종로구 평창문화로 65"/>
    <s v="(주)금광산전"/>
    <n v="5.2"/>
    <n v="65"/>
    <n v="12.5"/>
    <n v="1.3528138528138527"/>
    <s v="구조물"/>
    <n v="0.88"/>
    <n v="33.846153846153847"/>
    <n v="2.76416"/>
    <s v="수리비용"/>
    <s v="-"/>
    <n v="0.88"/>
    <s v="-"/>
    <s v="-"/>
    <s v="-"/>
    <n v="6073.6"/>
    <m/>
    <m/>
    <n v="1"/>
    <n v="0.94"/>
    <n v="5709.1840000000002"/>
    <n v="0"/>
    <n v="0"/>
    <n v="5850"/>
    <n v="5904"/>
    <n v="5548"/>
    <n v="6040"/>
    <n v="1.0579445328789543"/>
    <m/>
    <m/>
    <s v="ㅇ"/>
    <s v="인버터"/>
    <n v="0.88"/>
    <n v="1"/>
    <m/>
    <s v="ㅇ"/>
    <s v="ㅇ"/>
  </r>
  <r>
    <n v="64"/>
    <x v="63"/>
    <n v="98"/>
    <x v="2"/>
    <n v="8"/>
    <x v="34"/>
    <x v="63"/>
    <s v="용산구 효창원로 146-12"/>
    <s v="㈜윌링스"/>
    <n v="30"/>
    <n v="229"/>
    <n v="7.6333333333333337"/>
    <n v="0.82611832611832614"/>
    <m/>
    <n v="0"/>
    <n v="0"/>
    <n v="21.024000000000001"/>
    <m/>
    <s v="-"/>
    <s v="-"/>
    <s v="-"/>
    <s v="-"/>
    <s v="-"/>
    <n v="35040"/>
    <n v="10"/>
    <n v="10"/>
    <n v="0.94099999999999995"/>
    <n v="0.94"/>
    <n v="30994.281599999995"/>
    <n v="36311"/>
    <n v="37248"/>
    <n v="38153"/>
    <n v="36600"/>
    <n v="22583"/>
    <n v="32930"/>
    <n v="1.0624540495882959"/>
    <m/>
    <m/>
    <s v="x"/>
    <m/>
    <m/>
    <m/>
    <m/>
    <s v="ㅇ"/>
    <s v="ㅇ"/>
  </r>
  <r>
    <n v="65"/>
    <x v="64"/>
    <n v="56"/>
    <x v="2"/>
    <n v="2"/>
    <x v="13"/>
    <x v="64"/>
    <s v="광진구 중곡2동 134-18"/>
    <s v="㈜다쓰테크"/>
    <n v="5"/>
    <n v="40"/>
    <n v="8"/>
    <n v="0.86580086580086579"/>
    <m/>
    <n v="0.2"/>
    <n v="8"/>
    <n v="3.3039999999999998"/>
    <m/>
    <s v="-"/>
    <n v="0.2"/>
    <s v="-"/>
    <s v="-"/>
    <s v="-"/>
    <n v="5840"/>
    <m/>
    <m/>
    <n v="1"/>
    <n v="0.94"/>
    <n v="5489.5999999999995"/>
    <n v="0"/>
    <n v="0"/>
    <s v="-"/>
    <s v="-"/>
    <s v="(누적)29749"/>
    <n v="5000"/>
    <n v="0.91081317400174888"/>
    <m/>
    <m/>
    <s v="x"/>
    <m/>
    <m/>
    <m/>
    <m/>
    <s v="ㅇ"/>
    <s v="ㅇ"/>
  </r>
  <r>
    <n v="67"/>
    <x v="65"/>
    <n v="60"/>
    <x v="2"/>
    <n v="12"/>
    <x v="13"/>
    <x v="65"/>
    <s v="광진구 중곡1동 256-47"/>
    <s v="금비전자㈜"/>
    <n v="3"/>
    <n v="23"/>
    <n v="7.666666666666667"/>
    <n v="0.82972582972582976"/>
    <m/>
    <n v="0.1"/>
    <n v="6.6666666666666661"/>
    <n v="2.0024000000000002"/>
    <m/>
    <s v="-"/>
    <n v="0.1"/>
    <s v="-"/>
    <s v="-"/>
    <s v="-"/>
    <n v="3504.0000000000005"/>
    <m/>
    <m/>
    <n v="1"/>
    <n v="0.94"/>
    <n v="3293.76"/>
    <n v="0"/>
    <n v="0"/>
    <s v="-"/>
    <s v="-"/>
    <n v="1467"/>
    <n v="2934"/>
    <n v="0.89077528417371021"/>
    <m/>
    <m/>
    <s v="x"/>
    <m/>
    <m/>
    <m/>
    <m/>
    <s v="ㅇ"/>
    <s v="ㅇ"/>
  </r>
  <r>
    <n v="66"/>
    <x v="66"/>
    <n v="54"/>
    <x v="2"/>
    <n v="1"/>
    <x v="13"/>
    <x v="66"/>
    <s v="광진구 능동로 433"/>
    <s v="헥스파워시스템"/>
    <n v="12.6"/>
    <n v="60"/>
    <n v="4.7619047619047619"/>
    <n v="0.51535765821480106"/>
    <m/>
    <n v="3.9"/>
    <n v="61.904761904761905"/>
    <n v="4.9300800000000002"/>
    <s v="수리비용"/>
    <s v="-"/>
    <n v="0.1"/>
    <s v="-"/>
    <n v="2.4"/>
    <n v="1.4"/>
    <n v="14716.8"/>
    <m/>
    <m/>
    <n v="1"/>
    <n v="0.94"/>
    <n v="13833.791999999998"/>
    <n v="0"/>
    <n v="0"/>
    <s v="-"/>
    <s v="-"/>
    <s v="(누적) 178,200"/>
    <n v="9920"/>
    <n v="0.71708465762677376"/>
    <s v="시설노후"/>
    <s v="2010년 이전 설치 노후화로 발전효율 감소"/>
    <s v="ㅇ"/>
    <s v="인버터"/>
    <n v="3.8"/>
    <n v="36"/>
    <m/>
    <s v="ㅇ"/>
    <s v="ㅇ"/>
  </r>
  <r>
    <n v="68"/>
    <x v="67"/>
    <n v="71"/>
    <x v="2"/>
    <n v="6"/>
    <x v="35"/>
    <x v="67"/>
    <s v="동대문구 답십리로 210-3 (답십리동 2-294)"/>
    <s v="㈜삼광산전"/>
    <n v="35"/>
    <n v="269"/>
    <n v="7.6857142857142859"/>
    <n v="0.83178726035868888"/>
    <m/>
    <n v="0"/>
    <n v="0"/>
    <n v="24.527999999999999"/>
    <m/>
    <s v="-"/>
    <s v="-"/>
    <s v="-"/>
    <s v="-"/>
    <s v="-"/>
    <n v="40880"/>
    <n v="10"/>
    <n v="3"/>
    <n v="0.94199999999999995"/>
    <n v="0.94"/>
    <n v="36198.422399999996"/>
    <n v="33840"/>
    <n v="35774"/>
    <n v="35743"/>
    <n v="33275"/>
    <n v="20900"/>
    <n v="31846"/>
    <n v="0.87976209703547759"/>
    <m/>
    <s v="노후화 추정"/>
    <s v="x"/>
    <m/>
    <m/>
    <m/>
    <m/>
    <s v="ㅇ"/>
    <s v="ㅇ"/>
  </r>
  <r>
    <n v="69"/>
    <x v="68"/>
    <n v="97"/>
    <x v="2"/>
    <n v="1"/>
    <x v="36"/>
    <x v="68"/>
    <s v="중랑구 신내로15길 175"/>
    <s v="윌링스"/>
    <n v="20"/>
    <n v="186"/>
    <n v="9.3000000000000007"/>
    <n v="1.0064935064935066"/>
    <m/>
    <n v="0"/>
    <n v="0"/>
    <n v="14.016"/>
    <m/>
    <s v="-"/>
    <s v="-"/>
    <s v="-"/>
    <s v="-"/>
    <s v="-"/>
    <n v="23360"/>
    <n v="15"/>
    <n v="10"/>
    <n v="0.96299999999999997"/>
    <n v="0.94"/>
    <n v="21145.939199999997"/>
    <n v="23010"/>
    <n v="22450"/>
    <n v="22000"/>
    <n v="21900"/>
    <n v="7405"/>
    <n v="22201"/>
    <n v="1.0498942510910088"/>
    <m/>
    <m/>
    <s v="x"/>
    <m/>
    <m/>
    <m/>
    <m/>
    <s v="ㅇ"/>
    <s v="ㅇ"/>
  </r>
  <r>
    <n v="70"/>
    <x v="69"/>
    <n v="57"/>
    <x v="2"/>
    <n v="1"/>
    <x v="7"/>
    <x v="69"/>
    <s v="성북구 성북동 168-274"/>
    <s v="LS산전"/>
    <n v="3"/>
    <n v="23"/>
    <n v="7.666666666666667"/>
    <n v="0.82972582972582976"/>
    <m/>
    <n v="0.157"/>
    <n v="10.466666666666667"/>
    <n v="1.9454000000000002"/>
    <m/>
    <s v="-"/>
    <s v="-"/>
    <s v="-"/>
    <s v="-"/>
    <n v="0.157"/>
    <n v="3504.0000000000005"/>
    <m/>
    <m/>
    <n v="1"/>
    <n v="0.94"/>
    <n v="3293.76"/>
    <s v="-"/>
    <s v="-"/>
    <n v="2800"/>
    <n v="2324"/>
    <n v="1552"/>
    <n v="1838"/>
    <n v="0.55802487127173805"/>
    <s v="코로나19 휴관"/>
    <s v="코로나19로 인한 장기간 시설 미운영(20.8.~20.12., 4개월간)"/>
    <s v="x"/>
    <m/>
    <m/>
    <m/>
    <m/>
    <s v="ㅇ"/>
    <s v="ㅇ"/>
  </r>
  <r>
    <n v="72"/>
    <x v="70"/>
    <n v="59"/>
    <x v="2"/>
    <n v="6"/>
    <x v="7"/>
    <x v="70"/>
    <s v="성북구 솔샘로5길 92"/>
    <s v="LS산전"/>
    <n v="5.76"/>
    <n v="38"/>
    <n v="6.5972222222222223"/>
    <n v="0.71398508898508894"/>
    <m/>
    <n v="0.157"/>
    <n v="5.4513888888888893"/>
    <n v="3.8796079999999993"/>
    <m/>
    <s v="-"/>
    <s v="-"/>
    <s v="-"/>
    <s v="-"/>
    <n v="0.157"/>
    <n v="6727.6799999999994"/>
    <m/>
    <m/>
    <n v="1"/>
    <n v="0.94"/>
    <n v="6324.0191999999988"/>
    <n v="6835"/>
    <n v="6795"/>
    <n v="6803"/>
    <n v="4111"/>
    <n v="1121"/>
    <n v="6070"/>
    <n v="0.95983263301920418"/>
    <m/>
    <m/>
    <s v="x"/>
    <m/>
    <m/>
    <m/>
    <m/>
    <s v="ㅇ"/>
    <s v="ㅇ"/>
  </r>
  <r>
    <n v="71"/>
    <x v="71"/>
    <n v="58"/>
    <x v="2"/>
    <n v="6"/>
    <x v="7"/>
    <x v="71"/>
    <s v="성북구 돈암동 538-98"/>
    <s v="LS산전㈜"/>
    <n v="10"/>
    <n v="87"/>
    <n v="8.6999999999999993"/>
    <n v="0.94155844155844148"/>
    <m/>
    <n v="0.157"/>
    <n v="3.1399999999999997"/>
    <n v="6.851"/>
    <m/>
    <s v="-"/>
    <s v="-"/>
    <s v="-"/>
    <s v="-"/>
    <n v="0.157"/>
    <n v="11680"/>
    <m/>
    <m/>
    <n v="1"/>
    <n v="0.94"/>
    <n v="10979.199999999999"/>
    <n v="10381"/>
    <n v="12305"/>
    <n v="12807"/>
    <n v="10950"/>
    <n v="5485"/>
    <n v="9595"/>
    <n v="0.87392524045467801"/>
    <m/>
    <s v="코로나19로 인한 장기간 시설 미운영"/>
    <s v="x"/>
    <m/>
    <m/>
    <m/>
    <m/>
    <s v="ㅇ"/>
    <s v="ㅇ"/>
  </r>
  <r>
    <n v="73"/>
    <x v="72"/>
    <n v="72"/>
    <x v="2"/>
    <n v="9"/>
    <x v="37"/>
    <x v="72"/>
    <s v="강북구 삼양로138길 18"/>
    <s v="㈜삼광전선"/>
    <n v="4.8"/>
    <n v="40"/>
    <n v="8.3333333333333339"/>
    <n v="0.90187590187590194"/>
    <m/>
    <n v="0"/>
    <n v="0"/>
    <n v="3.3638400000000002"/>
    <m/>
    <s v="-"/>
    <s v="-"/>
    <s v="-"/>
    <s v="-"/>
    <s v="-"/>
    <n v="5606.4"/>
    <m/>
    <m/>
    <n v="1"/>
    <n v="0.94"/>
    <n v="5270.0159999999996"/>
    <n v="0"/>
    <n v="0"/>
    <n v="3600"/>
    <n v="2013"/>
    <n v="2494"/>
    <n v="4638"/>
    <n v="0.88007322937918986"/>
    <m/>
    <m/>
    <s v="x"/>
    <m/>
    <m/>
    <m/>
    <m/>
    <s v="ㅇ"/>
    <s v="ㅇ"/>
  </r>
  <r>
    <n v="74"/>
    <x v="73"/>
    <n v="43"/>
    <x v="2"/>
    <n v="6"/>
    <x v="14"/>
    <x v="73"/>
    <s v="도봉구 노해로 63길 43"/>
    <s v="KD파워"/>
    <n v="40"/>
    <n v="372"/>
    <n v="9.3000000000000007"/>
    <n v="1.0064935064935066"/>
    <m/>
    <n v="2.5750000000000002"/>
    <n v="12.875000000000002"/>
    <n v="25.457000000000001"/>
    <s v="수리비용"/>
    <s v="-"/>
    <s v="-"/>
    <s v="-"/>
    <n v="2.5750000000000002"/>
    <s v="-"/>
    <n v="46720"/>
    <m/>
    <m/>
    <n v="1"/>
    <n v="0.94"/>
    <n v="43916.799999999996"/>
    <n v="45549"/>
    <n v="45260"/>
    <n v="45114"/>
    <n v="44968"/>
    <n v="27901"/>
    <n v="43888"/>
    <n v="0.99934421451471889"/>
    <m/>
    <s v="코로나19영향으로 인한 사람들의 활동저하로 소폭하락"/>
    <s v="ㅇ"/>
    <s v="인버터"/>
    <n v="2.5750000000000002"/>
    <n v="1"/>
    <m/>
    <s v="ㅇ"/>
    <s v="ㅇ"/>
  </r>
  <r>
    <n v="75"/>
    <x v="74"/>
    <n v="66"/>
    <x v="2"/>
    <n v="6"/>
    <x v="14"/>
    <x v="74"/>
    <s v="도봉구 덕릉로 315"/>
    <s v="KD파워"/>
    <n v="20"/>
    <n v="186"/>
    <n v="9.3000000000000007"/>
    <n v="1.0064935064935066"/>
    <m/>
    <n v="0"/>
    <n v="0"/>
    <n v="14.016"/>
    <m/>
    <s v="-"/>
    <s v="-"/>
    <s v="-"/>
    <s v="-"/>
    <s v="-"/>
    <n v="23360"/>
    <n v="20"/>
    <n v="-20"/>
    <n v="0.97399999999999998"/>
    <n v="0.94"/>
    <n v="21387.481599999999"/>
    <n v="18860"/>
    <n v="23585"/>
    <n v="17805"/>
    <n v="14041"/>
    <n v="8014"/>
    <n v="17600"/>
    <n v="0.82291128657242196"/>
    <m/>
    <m/>
    <s v="x"/>
    <m/>
    <m/>
    <m/>
    <m/>
    <s v="ㅇ"/>
    <s v="ㅇ"/>
  </r>
  <r>
    <n v="76"/>
    <x v="75"/>
    <n v="84"/>
    <x v="2"/>
    <n v="4"/>
    <x v="38"/>
    <x v="75"/>
    <s v="노원구 공릉동 389-4"/>
    <s v="LS산전"/>
    <n v="10"/>
    <n v="93"/>
    <n v="9.3000000000000007"/>
    <n v="1.0064935064935066"/>
    <m/>
    <n v="0"/>
    <n v="0"/>
    <n v="7.008"/>
    <m/>
    <s v="-"/>
    <s v="-"/>
    <s v="-"/>
    <s v="-"/>
    <s v="-"/>
    <n v="11680"/>
    <m/>
    <m/>
    <n v="1"/>
    <n v="0.94"/>
    <n v="10979.199999999999"/>
    <n v="0"/>
    <n v="0"/>
    <s v="-"/>
    <n v="11482"/>
    <n v="6384"/>
    <n v="10466"/>
    <n v="0.95325706791023035"/>
    <m/>
    <m/>
    <s v="x"/>
    <m/>
    <m/>
    <m/>
    <m/>
    <s v="ㅇ"/>
    <s v="ㅇ"/>
  </r>
  <r>
    <n v="78"/>
    <x v="76"/>
    <n v="83"/>
    <x v="2"/>
    <n v="4"/>
    <x v="38"/>
    <x v="76"/>
    <s v="노원구 하계동 252-13"/>
    <s v="LS산전"/>
    <n v="20"/>
    <n v="186"/>
    <n v="9.3000000000000007"/>
    <n v="1.0064935064935066"/>
    <m/>
    <n v="0"/>
    <n v="0"/>
    <n v="14.016"/>
    <m/>
    <s v="-"/>
    <s v="-"/>
    <s v="-"/>
    <s v="-"/>
    <s v="-"/>
    <n v="23360"/>
    <m/>
    <m/>
    <n v="1"/>
    <n v="0.94"/>
    <n v="21958.399999999998"/>
    <n v="18870"/>
    <n v="20775"/>
    <n v="20845"/>
    <n v="20682"/>
    <n v="12609"/>
    <n v="20574"/>
    <n v="0.93695351209559907"/>
    <m/>
    <m/>
    <s v="x"/>
    <m/>
    <m/>
    <m/>
    <m/>
    <s v="ㅇ"/>
    <s v="ㅇ"/>
  </r>
  <r>
    <n v="77"/>
    <x v="77"/>
    <n v="81"/>
    <x v="2"/>
    <n v="4"/>
    <x v="38"/>
    <x v="77"/>
    <s v="노원구 상계동 770-2"/>
    <s v="LS산전"/>
    <n v="15"/>
    <n v="112"/>
    <n v="7.4666666666666668"/>
    <n v="0.80808080808080807"/>
    <m/>
    <n v="0"/>
    <n v="0"/>
    <n v="10.512"/>
    <m/>
    <s v="-"/>
    <s v="-"/>
    <s v="-"/>
    <s v="-"/>
    <s v="-"/>
    <n v="17520"/>
    <m/>
    <m/>
    <n v="1"/>
    <n v="0.94"/>
    <n v="16468.8"/>
    <n v="18633"/>
    <n v="18499"/>
    <n v="17816"/>
    <n v="15378"/>
    <n v="9328"/>
    <n v="15235"/>
    <n v="0.92508258039444291"/>
    <m/>
    <m/>
    <s v="x"/>
    <m/>
    <m/>
    <m/>
    <m/>
    <s v="ㅇ"/>
    <s v="ㅇ"/>
  </r>
  <r>
    <n v="79"/>
    <x v="78"/>
    <n v="86"/>
    <x v="2"/>
    <n v="9"/>
    <x v="39"/>
    <x v="78"/>
    <s v="은평구 갈현동 연서로27길 31-6"/>
    <s v="㈜에스에너지"/>
    <n v="10"/>
    <n v="91"/>
    <n v="9.1"/>
    <n v="0.98484848484848475"/>
    <m/>
    <n v="0"/>
    <n v="0"/>
    <n v="7.008"/>
    <m/>
    <s v="-"/>
    <s v="-"/>
    <s v="-"/>
    <s v="-"/>
    <s v="-"/>
    <n v="11680"/>
    <n v="29"/>
    <n v="0"/>
    <n v="0.999"/>
    <n v="0.94"/>
    <n v="10968.220799999999"/>
    <n v="10498"/>
    <n v="10347"/>
    <n v="10627"/>
    <n v="10398"/>
    <s v="(누적)111197"/>
    <n v="10510"/>
    <n v="0.95822286874458262"/>
    <m/>
    <m/>
    <s v="x"/>
    <m/>
    <m/>
    <m/>
    <m/>
    <s v="ㅇ"/>
    <s v="ㅇ"/>
  </r>
  <r>
    <n v="85"/>
    <x v="79"/>
    <n v="42"/>
    <x v="2"/>
    <n v="8"/>
    <x v="40"/>
    <x v="79"/>
    <s v="서대문구 남가좌동 342-7"/>
    <s v="LS산전㈜"/>
    <n v="10"/>
    <n v="78"/>
    <n v="7.8"/>
    <n v="0.8441558441558441"/>
    <m/>
    <n v="0.8"/>
    <n v="16"/>
    <n v="6.2080000000000002"/>
    <m/>
    <n v="0.1"/>
    <s v="-"/>
    <n v="0.2"/>
    <n v="0.2"/>
    <n v="0.3"/>
    <n v="11680"/>
    <m/>
    <m/>
    <n v="1"/>
    <n v="0.94"/>
    <n v="10979.199999999999"/>
    <n v="0"/>
    <n v="0"/>
    <s v="-"/>
    <s v="-"/>
    <s v="(누적)111,000"/>
    <n v="10014"/>
    <n v="0.91208831244535127"/>
    <m/>
    <m/>
    <s v="x"/>
    <m/>
    <m/>
    <m/>
    <m/>
    <s v="ㅇ"/>
    <s v="ㅇ"/>
  </r>
  <r>
    <n v="81"/>
    <x v="80"/>
    <n v="38"/>
    <x v="2"/>
    <n v="8"/>
    <x v="40"/>
    <x v="80"/>
    <s v="서대문구 홍은동 산 26-155"/>
    <s v="LS산전㈜"/>
    <n v="30"/>
    <n v="224"/>
    <n v="7.4666666666666668"/>
    <n v="0.80808080808080807"/>
    <m/>
    <n v="0.90000000000000013"/>
    <n v="6.0000000000000009"/>
    <n v="20.124000000000002"/>
    <m/>
    <n v="0.2"/>
    <s v="-"/>
    <n v="0.2"/>
    <n v="0.2"/>
    <n v="0.3"/>
    <n v="35040"/>
    <m/>
    <m/>
    <n v="1"/>
    <n v="0.94"/>
    <n v="32937.599999999999"/>
    <n v="0"/>
    <n v="0"/>
    <n v="32250"/>
    <n v="27561"/>
    <n v="20400"/>
    <n v="30595"/>
    <n v="0.92887763528611678"/>
    <m/>
    <m/>
    <s v="x"/>
    <m/>
    <m/>
    <m/>
    <m/>
    <s v="ㅇ"/>
    <s v="ㅇ"/>
  </r>
  <r>
    <n v="83"/>
    <x v="81"/>
    <n v="40"/>
    <x v="2"/>
    <n v="8"/>
    <x v="40"/>
    <x v="81"/>
    <s v="서대문구 연희동 165-2"/>
    <s v="LS산전㈜"/>
    <n v="10"/>
    <n v="93"/>
    <n v="9.3000000000000007"/>
    <n v="1.0064935064935066"/>
    <m/>
    <n v="0.90000000000000013"/>
    <n v="18.000000000000004"/>
    <n v="6.1079999999999997"/>
    <m/>
    <n v="0.2"/>
    <s v="-"/>
    <n v="0.2"/>
    <n v="0.2"/>
    <n v="0.3"/>
    <n v="11680"/>
    <m/>
    <m/>
    <n v="1"/>
    <n v="0.94"/>
    <n v="10979.199999999999"/>
    <n v="0"/>
    <n v="0"/>
    <s v="-"/>
    <s v="-"/>
    <s v="(누적)128,700"/>
    <n v="11452"/>
    <n v="1.0430632468668029"/>
    <m/>
    <m/>
    <s v="x"/>
    <m/>
    <m/>
    <m/>
    <m/>
    <s v="ㅇ"/>
    <s v="ㅇ"/>
  </r>
  <r>
    <n v="80"/>
    <x v="82"/>
    <n v="41"/>
    <x v="2"/>
    <n v="8"/>
    <x v="40"/>
    <x v="82"/>
    <s v="서대문구 연희로32길 51"/>
    <s v="LS산전㈜"/>
    <n v="60"/>
    <n v="477"/>
    <n v="7.95"/>
    <n v="0.86038961038961037"/>
    <m/>
    <n v="0.89999999999999991"/>
    <n v="2.9999999999999996"/>
    <n v="41.148000000000003"/>
    <m/>
    <n v="0.3"/>
    <s v="-"/>
    <n v="0.3"/>
    <s v="-"/>
    <n v="0.3"/>
    <n v="70080"/>
    <m/>
    <m/>
    <n v="1"/>
    <n v="0.94"/>
    <n v="65875.199999999997"/>
    <s v="-"/>
    <s v="-"/>
    <n v="32250"/>
    <s v="-"/>
    <s v="(누적)571,000"/>
    <n v="53896"/>
    <n v="0.81815311376663757"/>
    <m/>
    <s v="주변 빛반사 민원을 피하기 위해 태양광 방향이 좋지 못함"/>
    <s v="x"/>
    <m/>
    <m/>
    <m/>
    <m/>
    <s v="ㅇ"/>
    <s v="ㅇ"/>
  </r>
  <r>
    <n v="84"/>
    <x v="83"/>
    <n v="33"/>
    <x v="2"/>
    <n v="8"/>
    <x v="40"/>
    <x v="83"/>
    <s v="서대문구 연희동 산2-90"/>
    <s v="LS산전㈜"/>
    <n v="10"/>
    <n v="79"/>
    <n v="7.9"/>
    <n v="0.85497835497835495"/>
    <m/>
    <n v="1.6"/>
    <n v="32"/>
    <n v="5.4079999999999995"/>
    <s v="안전관리, 소모품교체"/>
    <n v="0.2"/>
    <s v="-"/>
    <n v="0.2"/>
    <n v="0.9"/>
    <n v="0.3"/>
    <n v="11680"/>
    <m/>
    <m/>
    <n v="1"/>
    <n v="0.94"/>
    <n v="10979.199999999999"/>
    <n v="9570"/>
    <n v="10068"/>
    <n v="10418"/>
    <n v="10044"/>
    <s v="(누적)108,300"/>
    <n v="9931"/>
    <n v="0.90452856310113683"/>
    <m/>
    <m/>
    <s v="x"/>
    <m/>
    <m/>
    <m/>
    <m/>
    <s v="ㅇ"/>
    <s v="ㅇ"/>
  </r>
  <r>
    <n v="82"/>
    <x v="84"/>
    <n v="39"/>
    <x v="2"/>
    <n v="8"/>
    <x v="40"/>
    <x v="84"/>
    <s v="서대문구 천연동 11703"/>
    <s v="LS산전㈜"/>
    <n v="20"/>
    <n v="186"/>
    <n v="9.3000000000000007"/>
    <n v="1.0064935064935066"/>
    <m/>
    <n v="0.90000000000000013"/>
    <n v="9.0000000000000018"/>
    <n v="13.116"/>
    <m/>
    <n v="0.2"/>
    <s v="-"/>
    <n v="0.2"/>
    <n v="0.2"/>
    <n v="0.3"/>
    <n v="23360"/>
    <m/>
    <m/>
    <n v="1"/>
    <n v="0.94"/>
    <n v="21958.399999999998"/>
    <s v="-"/>
    <n v="22155"/>
    <n v="22308"/>
    <n v="17349"/>
    <s v="(누적)234,200"/>
    <n v="21180"/>
    <n v="0.96455115126785207"/>
    <m/>
    <m/>
    <s v="x"/>
    <m/>
    <m/>
    <m/>
    <m/>
    <s v="ㅇ"/>
    <s v="ㅇ"/>
  </r>
  <r>
    <n v="86"/>
    <x v="85"/>
    <n v="91"/>
    <x v="2"/>
    <n v="9"/>
    <x v="15"/>
    <x v="85"/>
    <s v="마포구 방울내로 21"/>
    <s v="LS산전"/>
    <n v="10"/>
    <n v="87"/>
    <n v="8.6999999999999993"/>
    <n v="0.94155844155844148"/>
    <m/>
    <n v="0"/>
    <n v="0"/>
    <n v="7.008"/>
    <m/>
    <s v="-"/>
    <s v="-"/>
    <s v="-"/>
    <s v="-"/>
    <s v="-"/>
    <n v="11680"/>
    <m/>
    <m/>
    <n v="1"/>
    <n v="0.94"/>
    <n v="10979.199999999999"/>
    <n v="11483"/>
    <n v="10198"/>
    <n v="10562"/>
    <n v="10482"/>
    <n v="4980"/>
    <n v="10622"/>
    <n v="0.96746575342465768"/>
    <m/>
    <m/>
    <s v="x"/>
    <m/>
    <m/>
    <m/>
    <m/>
    <s v="ㅇ"/>
    <s v="ㅇ"/>
  </r>
  <r>
    <n v="88"/>
    <x v="86"/>
    <n v="88"/>
    <x v="2"/>
    <n v="9"/>
    <x v="15"/>
    <x v="86"/>
    <s v="마포구 방울내로 21"/>
    <s v="LS산전"/>
    <n v="30"/>
    <n v="295"/>
    <n v="9.8333333333333339"/>
    <n v="1.0642135642135642"/>
    <m/>
    <n v="0"/>
    <n v="0"/>
    <n v="21.024000000000001"/>
    <m/>
    <s v="-"/>
    <s v="-"/>
    <s v="-"/>
    <s v="-"/>
    <s v="-"/>
    <n v="35040"/>
    <m/>
    <m/>
    <n v="1"/>
    <n v="0.94"/>
    <n v="32937.599999999999"/>
    <n v="34450"/>
    <n v="30959"/>
    <n v="31687"/>
    <n v="31446"/>
    <n v="14415"/>
    <n v="31866"/>
    <n v="0.96746575342465757"/>
    <m/>
    <m/>
    <s v="x"/>
    <m/>
    <m/>
    <m/>
    <m/>
    <s v="ㅇ"/>
    <s v="ㅇ"/>
  </r>
  <r>
    <n v="89"/>
    <x v="87"/>
    <n v="89"/>
    <x v="2"/>
    <n v="9"/>
    <x v="15"/>
    <x v="87"/>
    <s v="마포구 방울내로 21"/>
    <s v="LS산전"/>
    <n v="30"/>
    <n v="295"/>
    <n v="9.8333333333333339"/>
    <n v="1.0642135642135642"/>
    <m/>
    <n v="0"/>
    <n v="0"/>
    <n v="21.024000000000001"/>
    <m/>
    <s v="-"/>
    <s v="-"/>
    <s v="-"/>
    <s v="-"/>
    <s v="-"/>
    <n v="35040"/>
    <m/>
    <m/>
    <n v="1"/>
    <n v="0.94"/>
    <n v="32937.599999999999"/>
    <n v="34450"/>
    <n v="30959"/>
    <n v="31687"/>
    <n v="31446"/>
    <n v="14415"/>
    <n v="31866"/>
    <n v="0.96746575342465757"/>
    <m/>
    <m/>
    <s v="x"/>
    <m/>
    <m/>
    <m/>
    <m/>
    <s v="ㅇ"/>
    <s v="ㅇ"/>
  </r>
  <r>
    <n v="90"/>
    <x v="88"/>
    <n v="90"/>
    <x v="2"/>
    <n v="9"/>
    <x v="15"/>
    <x v="88"/>
    <s v="마포구 방울내로 21"/>
    <s v="LS산전"/>
    <n v="30"/>
    <n v="295"/>
    <n v="9.8333333333333339"/>
    <n v="1.0642135642135642"/>
    <m/>
    <n v="0"/>
    <n v="0"/>
    <n v="21.024000000000001"/>
    <m/>
    <s v="-"/>
    <s v="-"/>
    <s v="-"/>
    <s v="-"/>
    <s v="-"/>
    <n v="35040"/>
    <m/>
    <m/>
    <n v="1"/>
    <n v="0.94"/>
    <n v="32937.599999999999"/>
    <n v="34450"/>
    <n v="30959"/>
    <n v="31687"/>
    <n v="31446"/>
    <n v="14415"/>
    <n v="31866"/>
    <n v="0.96746575342465757"/>
    <m/>
    <m/>
    <s v="x"/>
    <m/>
    <m/>
    <m/>
    <m/>
    <s v="ㅇ"/>
    <s v="ㅇ"/>
  </r>
  <r>
    <n v="91"/>
    <x v="89"/>
    <n v="52"/>
    <x v="2"/>
    <n v="10"/>
    <x v="15"/>
    <x v="89"/>
    <s v="마포구 창전동 3-242, 244, 248"/>
    <s v="㈜삼광산전"/>
    <n v="20"/>
    <n v="106"/>
    <n v="5.3"/>
    <n v="0.57359307359307354"/>
    <m/>
    <n v="0.5"/>
    <n v="5"/>
    <n v="13.516"/>
    <m/>
    <m/>
    <m/>
    <m/>
    <n v="0.2"/>
    <n v="0.3"/>
    <n v="23360"/>
    <m/>
    <m/>
    <n v="1"/>
    <n v="0.94"/>
    <n v="21958.399999999998"/>
    <s v="-"/>
    <s v="-"/>
    <n v="20874"/>
    <n v="18162"/>
    <n v="9432"/>
    <n v="15592"/>
    <n v="0.71006995045176335"/>
    <s v="시설정비"/>
    <s v="시설 수리에 따른 가동 중지(전기 시설 개보수 및 인버터 교체공사 2020.10.1~10.30.)"/>
    <s v="x"/>
    <m/>
    <m/>
    <m/>
    <m/>
    <s v="ㅇ"/>
    <s v="ㅇ"/>
  </r>
  <r>
    <n v="87"/>
    <x v="90"/>
    <n v="25"/>
    <x v="2"/>
    <n v="12"/>
    <x v="15"/>
    <x v="90"/>
    <s v="마포구 상암산로1길 67"/>
    <s v="㈜삼광산전"/>
    <n v="14.4"/>
    <n v="122"/>
    <n v="8.4722222222222214"/>
    <n v="0.91690716690716678"/>
    <m/>
    <n v="0.5"/>
    <n v="6.9444444444444446"/>
    <n v="9.5915199999999992"/>
    <s v="수리비용"/>
    <m/>
    <m/>
    <m/>
    <n v="0.2"/>
    <n v="0.3"/>
    <n v="16819.2"/>
    <m/>
    <m/>
    <n v="1"/>
    <n v="0.94"/>
    <n v="15810.048000000001"/>
    <s v="-"/>
    <s v="-"/>
    <n v="8597"/>
    <n v="8654"/>
    <n v="8408"/>
    <n v="10047"/>
    <n v="0.6354819416108034"/>
    <s v="시설정비"/>
    <s v="시설 수리에 따른 가동 중지(전기 조명시설 개보수공사 2020.6.1~7.30.)"/>
    <s v="ㅇ"/>
    <s v="기타"/>
    <n v="0.5"/>
    <n v="11"/>
    <m/>
    <s v="x"/>
    <s v="ㅇ"/>
  </r>
  <r>
    <n v="92"/>
    <x v="91"/>
    <n v="102"/>
    <x v="2"/>
    <n v="1"/>
    <x v="16"/>
    <x v="91"/>
    <s v="구로구 벚꽃길 484"/>
    <s v="㈜퓨처라이팅"/>
    <n v="50"/>
    <n v="368"/>
    <n v="7.36"/>
    <n v="0.79653679653679654"/>
    <m/>
    <n v="0"/>
    <n v="0"/>
    <n v="35.04"/>
    <m/>
    <s v="-"/>
    <s v="-"/>
    <s v="-"/>
    <s v="-"/>
    <s v="-"/>
    <n v="58400"/>
    <m/>
    <m/>
    <n v="1"/>
    <n v="0.94"/>
    <n v="54896"/>
    <n v="54308"/>
    <n v="56751"/>
    <n v="55708"/>
    <n v="32436"/>
    <n v="20416"/>
    <n v="59751"/>
    <n v="1.0884399591955698"/>
    <m/>
    <s v="모니터링시스템 수리중"/>
    <s v="x"/>
    <m/>
    <m/>
    <m/>
    <m/>
    <s v="ㅇ"/>
    <s v="ㅇ"/>
  </r>
  <r>
    <n v="93"/>
    <x v="92"/>
    <n v="100"/>
    <x v="2"/>
    <n v="5"/>
    <x v="16"/>
    <x v="92"/>
    <s v="구로구 중앙로15길 22"/>
    <s v="㈜신우테크"/>
    <n v="20"/>
    <n v="180"/>
    <n v="9"/>
    <n v="0.97402597402597402"/>
    <m/>
    <n v="0"/>
    <n v="0"/>
    <n v="14.016"/>
    <m/>
    <s v="-"/>
    <s v="-"/>
    <s v="-"/>
    <s v="-"/>
    <s v="-"/>
    <n v="23360"/>
    <m/>
    <m/>
    <n v="1"/>
    <n v="0.94"/>
    <n v="21958.399999999998"/>
    <n v="27785"/>
    <n v="23638"/>
    <n v="22418"/>
    <n v="19123"/>
    <n v="14403"/>
    <n v="23472"/>
    <n v="1.0689303410084525"/>
    <m/>
    <m/>
    <s v="x"/>
    <m/>
    <m/>
    <m/>
    <m/>
    <s v="ㅇ"/>
    <s v="ㅇ"/>
  </r>
  <r>
    <n v="95"/>
    <x v="93"/>
    <n v="65"/>
    <x v="2"/>
    <n v="7"/>
    <x v="16"/>
    <x v="93"/>
    <s v="구로구 가마산로 245"/>
    <s v="㈜신우테크"/>
    <n v="30"/>
    <n v="280"/>
    <n v="9.3333333333333339"/>
    <n v="1.0101010101010102"/>
    <m/>
    <n v="0"/>
    <n v="0"/>
    <n v="21.024000000000001"/>
    <m/>
    <s v="-"/>
    <s v="-"/>
    <s v="-"/>
    <s v="-"/>
    <s v="-"/>
    <n v="35040"/>
    <n v="30"/>
    <n v="-30"/>
    <n v="0.97899999999999998"/>
    <n v="0.94"/>
    <n v="32245.910399999997"/>
    <n v="33311"/>
    <n v="35534"/>
    <n v="34700"/>
    <n v="30088"/>
    <s v="(누적)378145"/>
    <n v="25722"/>
    <n v="0.7976825489163426"/>
    <m/>
    <m/>
    <s v="x"/>
    <m/>
    <m/>
    <m/>
    <m/>
    <s v="ㅇ"/>
    <s v="ㅇ"/>
  </r>
  <r>
    <n v="94"/>
    <x v="94"/>
    <n v="74"/>
    <x v="2"/>
    <n v="7"/>
    <x v="16"/>
    <x v="94"/>
    <s v="구로구 구일로 62"/>
    <s v="㈜신우테크"/>
    <n v="20"/>
    <n v="176"/>
    <n v="8.8000000000000007"/>
    <n v="0.95238095238095244"/>
    <m/>
    <n v="0"/>
    <n v="0"/>
    <n v="14.016"/>
    <m/>
    <s v="-"/>
    <s v="-"/>
    <s v="-"/>
    <s v="-"/>
    <s v="-"/>
    <n v="23360"/>
    <m/>
    <m/>
    <n v="1"/>
    <n v="0.94"/>
    <n v="21958.399999999998"/>
    <n v="22559"/>
    <n v="21935"/>
    <n v="19427"/>
    <n v="14984"/>
    <n v="12392"/>
    <n v="19906"/>
    <n v="0.90653235208394067"/>
    <m/>
    <m/>
    <s v="x"/>
    <m/>
    <m/>
    <m/>
    <m/>
    <s v="ㅇ"/>
    <s v="ㅇ"/>
  </r>
  <r>
    <n v="96"/>
    <x v="95"/>
    <n v="23"/>
    <x v="2"/>
    <n v="4"/>
    <x v="41"/>
    <x v="95"/>
    <s v="금천구 독산4동 371-2"/>
    <s v="LS산전㈜"/>
    <n v="30"/>
    <n v="270"/>
    <n v="9"/>
    <n v="0.97402597402597402"/>
    <m/>
    <n v="0"/>
    <n v="0"/>
    <n v="21.024000000000001"/>
    <m/>
    <m/>
    <m/>
    <m/>
    <m/>
    <s v="-"/>
    <n v="35040"/>
    <m/>
    <m/>
    <n v="1"/>
    <n v="0.94"/>
    <n v="32937.599999999999"/>
    <n v="21080"/>
    <n v="17366"/>
    <n v="35844"/>
    <n v="33308"/>
    <n v="20917"/>
    <n v="33675"/>
    <n v="1.0223877878169629"/>
    <m/>
    <m/>
    <s v="ㅇ"/>
    <s v="인버터"/>
    <n v="1.8"/>
    <n v="10"/>
    <m/>
    <s v="ㅇ"/>
    <s v="ㅇ"/>
  </r>
  <r>
    <n v="98"/>
    <x v="96"/>
    <n v="32"/>
    <x v="2"/>
    <n v="4"/>
    <x v="41"/>
    <x v="96"/>
    <s v="금천구 독산동 700"/>
    <s v="LS산전㈜"/>
    <n v="10"/>
    <n v="91"/>
    <n v="9.1"/>
    <n v="0.98484848484848475"/>
    <m/>
    <n v="1"/>
    <n v="20"/>
    <n v="6.008"/>
    <s v="수리비용"/>
    <n v="1"/>
    <s v="-"/>
    <s v="-"/>
    <s v="-"/>
    <s v="-"/>
    <n v="11680"/>
    <m/>
    <m/>
    <n v="1"/>
    <n v="0.94"/>
    <n v="10979.199999999999"/>
    <n v="9691"/>
    <n v="12082"/>
    <n v="11057"/>
    <n v="11400"/>
    <n v="6000"/>
    <n v="12300"/>
    <n v="1.120300204022151"/>
    <m/>
    <m/>
    <s v="ㅇ"/>
    <s v="인버터"/>
    <n v="1"/>
    <n v="1"/>
    <m/>
    <s v="ㅇ"/>
    <s v="ㅇ"/>
  </r>
  <r>
    <n v="97"/>
    <x v="97"/>
    <n v="85"/>
    <x v="2"/>
    <n v="4"/>
    <x v="41"/>
    <x v="97"/>
    <s v="금천구 시흥대로51길 93-32"/>
    <s v="LS산전㈜"/>
    <n v="10"/>
    <n v="93"/>
    <n v="9.3000000000000007"/>
    <n v="1.0064935064935066"/>
    <m/>
    <n v="0"/>
    <n v="0"/>
    <n v="7.008"/>
    <m/>
    <s v="-"/>
    <m/>
    <s v="-"/>
    <s v="-"/>
    <s v="-"/>
    <n v="11680"/>
    <m/>
    <m/>
    <n v="1"/>
    <n v="0.94"/>
    <n v="10979.199999999999"/>
    <n v="6115"/>
    <n v="16226"/>
    <n v="11022"/>
    <n v="13093"/>
    <n v="6510"/>
    <n v="10467"/>
    <n v="0.95334814922763056"/>
    <m/>
    <m/>
    <s v="x"/>
    <m/>
    <m/>
    <m/>
    <m/>
    <s v="ㅇ"/>
    <s v="ㅇ"/>
  </r>
  <r>
    <n v="99"/>
    <x v="98"/>
    <n v="51"/>
    <x v="2"/>
    <n v="4"/>
    <x v="17"/>
    <x v="98"/>
    <s v="영등포구 영등포로84길 24-5"/>
    <s v="삼광산전"/>
    <n v="28"/>
    <n v="212"/>
    <n v="7.5714285714285712"/>
    <n v="0.81941867656153367"/>
    <m/>
    <n v="0.53600000000000003"/>
    <n v="3.8285714285714292"/>
    <n v="19.086400000000001"/>
    <m/>
    <n v="0.1"/>
    <n v="0.1"/>
    <n v="0.1"/>
    <n v="0.1"/>
    <n v="0.13600000000000001"/>
    <n v="32704.000000000004"/>
    <n v="30"/>
    <n v="0"/>
    <n v="0.999"/>
    <n v="0.94"/>
    <n v="30711.018240000001"/>
    <n v="26852"/>
    <n v="26444"/>
    <n v="25666"/>
    <n v="26429"/>
    <s v="(누적)331972"/>
    <n v="26576"/>
    <n v="0.8653571754708449"/>
    <m/>
    <s v="시설 노후화로 인한 효율 저하"/>
    <s v="x"/>
    <m/>
    <m/>
    <m/>
    <m/>
    <s v="ㅇ"/>
    <s v="ㅇ"/>
  </r>
  <r>
    <n v="102"/>
    <x v="99"/>
    <n v="49"/>
    <x v="2"/>
    <n v="4"/>
    <x v="17"/>
    <x v="99"/>
    <s v="영등포구 신풍로 1"/>
    <s v="삼광산전"/>
    <n v="30"/>
    <n v="235"/>
    <n v="7.833333333333333"/>
    <n v="0.84776334776334772"/>
    <m/>
    <n v="3"/>
    <n v="20"/>
    <n v="18.024000000000001"/>
    <s v="수리비용, 안전관리"/>
    <n v="0.1"/>
    <n v="2.2999999999999998"/>
    <n v="0.1"/>
    <n v="0.2"/>
    <n v="0.3"/>
    <n v="35040"/>
    <n v="9"/>
    <n v="0"/>
    <n v="0.94199999999999995"/>
    <n v="0.94"/>
    <n v="31027.219199999996"/>
    <n v="29916"/>
    <n v="28802"/>
    <n v="23486"/>
    <n v="27401"/>
    <n v="19800"/>
    <n v="29962"/>
    <n v="0.96566823494127385"/>
    <m/>
    <m/>
    <s v="ㅇ"/>
    <s v="기타"/>
    <n v="2.2000000000000002"/>
    <n v="1"/>
    <m/>
    <s v="ㅇ"/>
    <s v="ㅇ"/>
  </r>
  <r>
    <n v="101"/>
    <x v="100"/>
    <n v="34"/>
    <x v="2"/>
    <n v="4"/>
    <x v="17"/>
    <x v="100"/>
    <s v="영등포구 당산로 123"/>
    <s v="삼광산전"/>
    <n v="40"/>
    <n v="265"/>
    <n v="6.625"/>
    <n v="0.71699134199134196"/>
    <m/>
    <n v="1.0920000000000001"/>
    <n v="5.4600000000000009"/>
    <n v="26.94"/>
    <s v="수리비용, 유지관리"/>
    <n v="0.15"/>
    <n v="0.1"/>
    <n v="0.1"/>
    <n v="0.2"/>
    <n v="0.54200000000000004"/>
    <n v="46720"/>
    <n v="20"/>
    <n v="10"/>
    <n v="0.89943810516461187"/>
    <n v="0.94"/>
    <n v="39500.443376893221"/>
    <n v="27251.5"/>
    <n v="40432"/>
    <n v="30061"/>
    <n v="34614.699999999997"/>
    <n v="13000"/>
    <n v="33529.1"/>
    <n v="0.8488284468121613"/>
    <m/>
    <m/>
    <s v="ㅇ"/>
    <s v="인버터"/>
    <n v="0.24199999999999999"/>
    <n v="2"/>
    <m/>
    <s v="ㅇ"/>
    <s v="ㅇ"/>
  </r>
  <r>
    <n v="100"/>
    <x v="101"/>
    <n v="35"/>
    <x v="2"/>
    <n v="6"/>
    <x v="17"/>
    <x v="101"/>
    <s v="영등포구 영등포로64길 15"/>
    <s v="삼광산전"/>
    <n v="25"/>
    <n v="192"/>
    <n v="7.68"/>
    <n v="0.83116883116883111"/>
    <m/>
    <n v="1.2149999999999999"/>
    <n v="9.7199999999999989"/>
    <n v="16.305"/>
    <s v="안전관리, 수리비"/>
    <n v="0.1"/>
    <n v="0.1"/>
    <n v="0.1"/>
    <n v="0.1"/>
    <n v="0.81499999999999995"/>
    <n v="29200"/>
    <n v="25"/>
    <n v="0"/>
    <n v="0.99199999999999999"/>
    <n v="0.94"/>
    <n v="27228.416000000001"/>
    <n v="26398"/>
    <n v="29970"/>
    <n v="30419.1"/>
    <n v="29645"/>
    <n v="17600"/>
    <n v="30171"/>
    <n v="1.1080703335809177"/>
    <m/>
    <m/>
    <s v="ㅇ"/>
    <s v="인버터"/>
    <n v="0.71499999999999997"/>
    <n v="1"/>
    <m/>
    <s v="ㅇ"/>
    <s v="ㅇ"/>
  </r>
  <r>
    <n v="103"/>
    <x v="102"/>
    <n v="50"/>
    <x v="2"/>
    <n v="12"/>
    <x v="42"/>
    <x v="102"/>
    <s v="동작구 장승배기로10길 42"/>
    <s v="㈜유니크기전"/>
    <n v="30"/>
    <n v="204"/>
    <n v="6.8"/>
    <n v="0.73593073593073588"/>
    <m/>
    <n v="3.4"/>
    <n v="22.666666666666664"/>
    <n v="17.624000000000002"/>
    <s v="수리비용"/>
    <s v="-"/>
    <s v="-"/>
    <s v="-"/>
    <s v="-"/>
    <n v="3.4"/>
    <n v="35040"/>
    <m/>
    <m/>
    <n v="1"/>
    <n v="0.94"/>
    <n v="32937.599999999999"/>
    <n v="37687"/>
    <n v="35809"/>
    <n v="38781"/>
    <n v="37426"/>
    <n v="16605"/>
    <n v="30038"/>
    <n v="0.91196687068881765"/>
    <m/>
    <m/>
    <s v="ㅇ"/>
    <s v="인버터, 접속반"/>
    <n v="3.4"/>
    <n v="13"/>
    <m/>
    <s v="ㅇ"/>
    <s v="ㅇ"/>
  </r>
  <r>
    <n v="104"/>
    <x v="103"/>
    <n v="80"/>
    <x v="2"/>
    <n v="6"/>
    <x v="18"/>
    <x v="103"/>
    <s v="관악구 낙성대로3길 37"/>
    <s v="LS산전㈜"/>
    <n v="50.4"/>
    <n v="431"/>
    <n v="8.5515873015873023"/>
    <n v="0.92549646121074702"/>
    <m/>
    <n v="0"/>
    <n v="0"/>
    <n v="35.320320000000002"/>
    <m/>
    <m/>
    <m/>
    <m/>
    <m/>
    <m/>
    <n v="58867.199999999997"/>
    <m/>
    <m/>
    <n v="1"/>
    <n v="0.94"/>
    <n v="55335.167999999991"/>
    <n v="52583"/>
    <n v="51579"/>
    <n v="53666"/>
    <n v="49375"/>
    <n v="37792"/>
    <n v="50615"/>
    <n v="0.91469858734322462"/>
    <m/>
    <m/>
    <s v="x"/>
    <m/>
    <m/>
    <m/>
    <m/>
    <s v="ㅇ"/>
    <s v="ㅇ"/>
  </r>
  <r>
    <n v="105"/>
    <x v="104"/>
    <n v="70"/>
    <x v="2"/>
    <n v="6"/>
    <x v="18"/>
    <x v="104"/>
    <s v="관악구 봉천로27길 20"/>
    <s v="LS산전㈜]"/>
    <n v="30.24"/>
    <n v="264"/>
    <n v="8.7301587301587311"/>
    <n v="0.94482237339380204"/>
    <m/>
    <n v="0"/>
    <n v="0"/>
    <n v="21.192191999999999"/>
    <m/>
    <m/>
    <m/>
    <m/>
    <m/>
    <m/>
    <n v="35320.32"/>
    <m/>
    <m/>
    <n v="1"/>
    <n v="0.94"/>
    <n v="33201.1008"/>
    <n v="27526"/>
    <n v="33403"/>
    <n v="30024"/>
    <n v="28787"/>
    <n v="18843"/>
    <n v="28814"/>
    <n v="0.86786279086264517"/>
    <m/>
    <s v=" 장마 등으로 발전효율 저하"/>
    <s v="x"/>
    <m/>
    <m/>
    <m/>
    <m/>
    <s v="ㅇ"/>
    <s v="ㅇ"/>
  </r>
  <r>
    <n v="106"/>
    <x v="105"/>
    <n v="73"/>
    <x v="2"/>
    <n v="9"/>
    <x v="43"/>
    <x v="105"/>
    <s v="서초구 남부순환로340길 15"/>
    <s v="에스에너지"/>
    <n v="30"/>
    <n v="202"/>
    <n v="6.7333333333333334"/>
    <n v="0.72871572871572865"/>
    <m/>
    <n v="0"/>
    <n v="0"/>
    <n v="21.024000000000001"/>
    <m/>
    <s v="-"/>
    <s v="-"/>
    <s v="-"/>
    <s v="-"/>
    <s v="-"/>
    <n v="35040"/>
    <m/>
    <m/>
    <n v="1"/>
    <n v="0.94"/>
    <n v="32937.599999999999"/>
    <n v="31036"/>
    <n v="31840"/>
    <n v="30844"/>
    <n v="29359"/>
    <n v="18488"/>
    <n v="29077"/>
    <n v="0.88279048868162835"/>
    <m/>
    <m/>
    <s v="x"/>
    <m/>
    <m/>
    <m/>
    <m/>
    <s v="ㅇ"/>
    <s v="ㅇ"/>
  </r>
  <r>
    <n v="107"/>
    <x v="106"/>
    <n v="105"/>
    <x v="2"/>
    <n v="6"/>
    <x v="43"/>
    <x v="106"/>
    <s v="서초구 남부순환로 2584"/>
    <s v="㈜대아파워텍"/>
    <n v="10"/>
    <n v="103"/>
    <n v="10.3"/>
    <n v="1.1147186147186148"/>
    <s v="구조물"/>
    <n v="0"/>
    <n v="0"/>
    <n v="7.008"/>
    <m/>
    <s v="-"/>
    <s v="-"/>
    <s v="-"/>
    <s v="-"/>
    <s v="-"/>
    <n v="11680"/>
    <m/>
    <m/>
    <n v="1"/>
    <n v="0.94"/>
    <n v="10979.199999999999"/>
    <n v="10896"/>
    <n v="12790"/>
    <n v="12774"/>
    <n v="11897"/>
    <n v="7291"/>
    <n v="12233"/>
    <n v="1.1141977557563394"/>
    <m/>
    <m/>
    <s v="x"/>
    <m/>
    <m/>
    <m/>
    <m/>
    <s v="ㅇ"/>
    <s v="ㅇ"/>
  </r>
  <r>
    <n v="108"/>
    <x v="107"/>
    <n v="27"/>
    <x v="2"/>
    <n v="8"/>
    <x v="44"/>
    <x v="107"/>
    <s v="강남구 남부순환로378길 34-9"/>
    <s v="텐코리아"/>
    <n v="16.399999999999999"/>
    <n v="96"/>
    <n v="5.8536585365853666"/>
    <n v="0.63351282863477987"/>
    <m/>
    <n v="3"/>
    <n v="36.585365853658544"/>
    <n v="8.4931199999999976"/>
    <m/>
    <n v="0.6"/>
    <n v="0.6"/>
    <n v="0.6"/>
    <n v="0.6"/>
    <n v="0.6"/>
    <n v="19155.199999999997"/>
    <m/>
    <m/>
    <n v="1"/>
    <n v="0.94"/>
    <n v="18005.887999999995"/>
    <n v="17842"/>
    <n v="18152"/>
    <n v="17970"/>
    <n v="17645"/>
    <n v="8820"/>
    <n v="17523"/>
    <n v="0.9731816614654053"/>
    <m/>
    <m/>
    <s v="x"/>
    <m/>
    <m/>
    <m/>
    <m/>
    <s v="ㅇ"/>
    <s v="ㅇ"/>
  </r>
  <r>
    <n v="109"/>
    <x v="108"/>
    <n v="26"/>
    <x v="2"/>
    <n v="8"/>
    <x v="44"/>
    <x v="108"/>
    <s v="강남구 봉은사로 616"/>
    <s v="LS산전"/>
    <n v="19.8"/>
    <n v="42"/>
    <n v="2.1212121212121211"/>
    <n v="0.22956841138659317"/>
    <m/>
    <n v="3"/>
    <n v="30.303030303030305"/>
    <n v="10.87584"/>
    <m/>
    <n v="0.6"/>
    <n v="0.6"/>
    <n v="0.6"/>
    <n v="0.6"/>
    <n v="0.6"/>
    <n v="23126.400000000001"/>
    <m/>
    <m/>
    <n v="1"/>
    <n v="0.94"/>
    <n v="21738.815999999999"/>
    <n v="21847"/>
    <n v="21342"/>
    <n v="21128"/>
    <n v="21107"/>
    <n v="10550"/>
    <n v="21104"/>
    <n v="0.97079804162287409"/>
    <m/>
    <m/>
    <s v="x"/>
    <m/>
    <m/>
    <m/>
    <m/>
    <s v="ㅇ"/>
    <s v="ㅇ"/>
  </r>
  <r>
    <n v="110"/>
    <x v="109"/>
    <n v="61"/>
    <x v="2"/>
    <n v="4"/>
    <x v="45"/>
    <x v="109"/>
    <s v="송파구 잠실로 51-31"/>
    <s v="LS산전㈜"/>
    <n v="3"/>
    <n v="23"/>
    <n v="7.666666666666667"/>
    <n v="0.82972582972582976"/>
    <m/>
    <n v="0.1"/>
    <n v="6.6666666666666661"/>
    <n v="2.0024000000000002"/>
    <m/>
    <s v="-"/>
    <n v="0.1"/>
    <s v="-"/>
    <s v="-"/>
    <s v="-"/>
    <n v="3504.0000000000005"/>
    <m/>
    <m/>
    <n v="1"/>
    <n v="0.94"/>
    <n v="3293.76"/>
    <n v="0"/>
    <n v="0"/>
    <n v="3780"/>
    <s v="-"/>
    <n v="2425"/>
    <n v="3631"/>
    <n v="1.1023875449334499"/>
    <m/>
    <m/>
    <s v="x"/>
    <m/>
    <m/>
    <m/>
    <m/>
    <s v="ㅇ"/>
    <s v="ㅇ"/>
  </r>
  <r>
    <n v="111"/>
    <x v="110"/>
    <n v="95"/>
    <x v="2"/>
    <n v="6"/>
    <x v="46"/>
    <x v="110"/>
    <s v="강동구 고덕동 55-5외10필지"/>
    <s v="㈜윌링스"/>
    <n v="30"/>
    <n v="267"/>
    <n v="8.9"/>
    <n v="0.96320346320346317"/>
    <m/>
    <n v="0"/>
    <n v="0"/>
    <n v="21.024000000000001"/>
    <m/>
    <s v="-"/>
    <s v="-"/>
    <s v="-"/>
    <s v="-"/>
    <s v="-"/>
    <n v="35040"/>
    <m/>
    <m/>
    <n v="1"/>
    <n v="0.94"/>
    <n v="32937.599999999999"/>
    <n v="33123"/>
    <n v="31923"/>
    <n v="22281"/>
    <n v="27600"/>
    <n v="16750"/>
    <n v="34112"/>
    <n v="1.0356552997182551"/>
    <m/>
    <m/>
    <s v="x"/>
    <m/>
    <m/>
    <m/>
    <m/>
    <s v="ㅇ"/>
    <s v="ㅇ"/>
  </r>
  <r>
    <n v="113"/>
    <x v="111"/>
    <n v="147"/>
    <x v="3"/>
    <n v="8"/>
    <x v="47"/>
    <x v="111"/>
    <s v="관악구 낙성대로 70"/>
    <s v="쏠라테크"/>
    <n v="25.41"/>
    <n v="144"/>
    <n v="5.667060212514758"/>
    <n v="0.78928415216082981"/>
    <m/>
    <n v="0.17743"/>
    <n v="1.3965367965367965"/>
    <n v="17.629898000000004"/>
    <m/>
    <s v="-"/>
    <n v="0.17743"/>
    <s v="-"/>
    <s v="-"/>
    <s v="-"/>
    <n v="29678.880000000005"/>
    <n v="20"/>
    <n v="10"/>
    <n v="0.97899999999999998"/>
    <n v="0.94499999999999995"/>
    <n v="27457.564226400002"/>
    <n v="30144"/>
    <n v="30144"/>
    <n v="30144"/>
    <n v="30144"/>
    <n v="17734"/>
    <n v="30729"/>
    <n v="1.1191451560169552"/>
    <m/>
    <m/>
    <s v="x"/>
    <m/>
    <m/>
    <m/>
    <m/>
    <s v="ㅇ"/>
    <s v="ㅇ"/>
  </r>
  <r>
    <n v="112"/>
    <x v="112"/>
    <n v="164"/>
    <x v="3"/>
    <n v="9"/>
    <x v="23"/>
    <x v="112"/>
    <s v="영등포구 문래로 110"/>
    <s v="(주)삼광산전"/>
    <n v="10.32"/>
    <n v="74"/>
    <n v="7.1705426356589141"/>
    <n v="0.99868281833689621"/>
    <m/>
    <n v="0"/>
    <n v="0"/>
    <n v="7.2322559999999996"/>
    <m/>
    <s v="-"/>
    <s v="-"/>
    <s v="-"/>
    <s v="-"/>
    <s v="-"/>
    <n v="12053.76"/>
    <n v="35"/>
    <n v="0"/>
    <n v="1"/>
    <n v="0.94499999999999995"/>
    <n v="11390.8032"/>
    <n v="1584"/>
    <n v="13167"/>
    <n v="13280"/>
    <n v="12237"/>
    <n v="6151"/>
    <n v="10775.795454545454"/>
    <n v="0.94600839513630208"/>
    <m/>
    <m/>
    <s v="x"/>
    <m/>
    <m/>
    <m/>
    <m/>
    <s v="ㅇ"/>
    <s v="ㅇ"/>
  </r>
  <r>
    <n v="114"/>
    <x v="113"/>
    <n v="119"/>
    <x v="3"/>
    <n v="10"/>
    <x v="48"/>
    <x v="113"/>
    <s v="양천구 신정이펜1로 20"/>
    <s v="텐코리아"/>
    <n v="50.16"/>
    <n v="318"/>
    <n v="6.3397129186602879"/>
    <n v="0.88296837307246356"/>
    <m/>
    <n v="0.7"/>
    <n v="2.7910685805422646"/>
    <n v="34.452127999999988"/>
    <s v="수리비용"/>
    <s v="-"/>
    <s v="-"/>
    <s v="-"/>
    <s v="-"/>
    <n v="0.7"/>
    <n v="58586.879999999997"/>
    <n v="30"/>
    <n v="10"/>
    <n v="0.997"/>
    <n v="0.94499999999999995"/>
    <n v="55198.507795199992"/>
    <n v="64379"/>
    <n v="67446"/>
    <n v="66758"/>
    <n v="64813"/>
    <n v="40459"/>
    <n v="64098"/>
    <n v="1.1612270432711571"/>
    <m/>
    <m/>
    <s v="ㅇ"/>
    <s v="인버터"/>
    <n v="0.7"/>
    <n v="24"/>
    <m/>
    <s v="ㅇ"/>
    <s v="ㅇ"/>
  </r>
  <r>
    <n v="115"/>
    <x v="114"/>
    <n v="202"/>
    <x v="3"/>
    <n v="5"/>
    <x v="49"/>
    <x v="114"/>
    <s v="동작구 여의대방로20길 33"/>
    <s v="㈜현대산업개발"/>
    <n v="6"/>
    <n v="60"/>
    <n v="10"/>
    <n v="1.392757660167131"/>
    <s v="구조물"/>
    <n v="0"/>
    <n v="0"/>
    <n v="4.2048000000000005"/>
    <m/>
    <s v="-"/>
    <s v="-"/>
    <s v="-"/>
    <s v="-"/>
    <s v="-"/>
    <n v="7008.0000000000009"/>
    <n v="40"/>
    <n v="0"/>
    <n v="0.995"/>
    <n v="0.94499999999999995"/>
    <n v="6589.4472000000005"/>
    <n v="7510"/>
    <n v="7293"/>
    <n v="7344"/>
    <n v="7436"/>
    <n v="4866"/>
    <n v="7888"/>
    <n v="1.1970655140843984"/>
    <m/>
    <m/>
    <s v="x"/>
    <m/>
    <m/>
    <m/>
    <m/>
    <s v="ㅇ"/>
    <s v="ㅇ"/>
  </r>
  <r>
    <n v="116"/>
    <x v="115"/>
    <n v="183"/>
    <x v="3"/>
    <n v="2"/>
    <x v="50"/>
    <x v="115"/>
    <s v="동대문구 서울시립대로 163"/>
    <s v="㈜케이디파워"/>
    <n v="30"/>
    <n v="120"/>
    <n v="4"/>
    <n v="0.55710306406685239"/>
    <m/>
    <n v="18"/>
    <n v="120"/>
    <n v="3.0240000000000009"/>
    <s v="수리비용"/>
    <s v="-"/>
    <s v="-"/>
    <s v="-"/>
    <s v="-"/>
    <n v="18"/>
    <n v="35040"/>
    <m/>
    <m/>
    <n v="1"/>
    <n v="0.94499999999999995"/>
    <n v="33112.799999999996"/>
    <n v="40609"/>
    <n v="38329"/>
    <n v="38609"/>
    <n v="37367"/>
    <n v="22131"/>
    <n v="36693"/>
    <n v="1.1081213307240705"/>
    <m/>
    <m/>
    <s v="ㅇ"/>
    <s v="모듈, 인버터, 접속반"/>
    <n v="18"/>
    <n v="15"/>
    <m/>
    <s v="ㅇ"/>
    <s v="ㅇ"/>
  </r>
  <r>
    <n v="117"/>
    <x v="116"/>
    <n v="193"/>
    <x v="3"/>
    <n v="5"/>
    <x v="2"/>
    <x v="116"/>
    <s v="서초구 남부순환로340길 58"/>
    <s v="㈜다쓰테크"/>
    <n v="30"/>
    <n v="180"/>
    <n v="6"/>
    <n v="0.83565459610027859"/>
    <m/>
    <n v="0"/>
    <n v="0"/>
    <n v="21.024000000000001"/>
    <m/>
    <m/>
    <m/>
    <m/>
    <m/>
    <m/>
    <n v="35040"/>
    <m/>
    <m/>
    <n v="1"/>
    <n v="0.94499999999999995"/>
    <n v="33112.799999999996"/>
    <n v="37099"/>
    <n v="37699"/>
    <n v="38380"/>
    <n v="37789"/>
    <n v="23932"/>
    <n v="36648"/>
    <n v="1.106762339639052"/>
    <m/>
    <m/>
    <s v="x"/>
    <m/>
    <m/>
    <m/>
    <m/>
    <s v="ㅇ"/>
    <s v="ㅇ"/>
  </r>
  <r>
    <n v="118"/>
    <x v="117"/>
    <n v="149"/>
    <x v="3"/>
    <n v="9"/>
    <x v="25"/>
    <x v="117"/>
    <s v="영등포구 양화동 1-59"/>
    <s v="㈜현대건설"/>
    <n v="11"/>
    <n v="105"/>
    <n v="9.545454545454545"/>
    <n v="1.3294504937958977"/>
    <s v="소용량"/>
    <n v="0.09"/>
    <n v="1.636363636363636"/>
    <n v="7.6188000000000011"/>
    <m/>
    <s v="-"/>
    <s v="-"/>
    <n v="0.09"/>
    <s v="-"/>
    <s v="-"/>
    <n v="12848.000000000002"/>
    <m/>
    <m/>
    <n v="1"/>
    <n v="0.94499999999999995"/>
    <n v="12141.36"/>
    <n v="15134"/>
    <n v="15210"/>
    <n v="15453"/>
    <n v="15177"/>
    <n v="9617"/>
    <n v="14780"/>
    <n v="1.2173265597923131"/>
    <m/>
    <m/>
    <s v="x"/>
    <m/>
    <m/>
    <m/>
    <m/>
    <s v="ㅇ"/>
    <s v="ㅇ"/>
  </r>
  <r>
    <n v="119"/>
    <x v="118"/>
    <n v="190"/>
    <x v="3"/>
    <n v="11"/>
    <x v="51"/>
    <x v="118"/>
    <s v="덕양구 대덕로 426"/>
    <s v="㈜삼광산전"/>
    <n v="100"/>
    <n v="857"/>
    <n v="8.57"/>
    <n v="1.1935933147632314"/>
    <s v="구조물"/>
    <n v="31.3"/>
    <n v="62.6"/>
    <n v="38.78"/>
    <s v="수리비용"/>
    <n v="3"/>
    <s v="-"/>
    <n v="13.3"/>
    <n v="15"/>
    <s v="-"/>
    <n v="116800"/>
    <n v="35"/>
    <n v="45"/>
    <n v="0.95299999999999996"/>
    <n v="0.94499999999999995"/>
    <n v="105188.32799999999"/>
    <n v="58747"/>
    <n v="35413"/>
    <n v="28506"/>
    <n v="106697"/>
    <n v="69263"/>
    <n v="105848"/>
    <n v="1.0062713421968263"/>
    <m/>
    <m/>
    <s v="ㅇ"/>
    <s v="인버터"/>
    <n v="31.3"/>
    <n v="128"/>
    <s v="2016/4~2016/6 , 2018/11~2018/11, 2019/8~2019/9"/>
    <s v="ㅇ"/>
    <s v="ㅇ"/>
  </r>
  <r>
    <n v="120"/>
    <x v="119"/>
    <n v="200"/>
    <x v="3"/>
    <n v="12"/>
    <x v="52"/>
    <x v="119"/>
    <s v="과천시 대공원광장로 102"/>
    <s v="지투파워㈜"/>
    <n v="60"/>
    <n v="553"/>
    <n v="9.2166666666666668"/>
    <n v="1.2836583101207057"/>
    <s v="구조물"/>
    <n v="88.87"/>
    <n v="296.23333333333335"/>
    <n v="-46.822000000000003"/>
    <s v="이설공사, 소모품교체 등"/>
    <n v="65.135000000000005"/>
    <s v="-"/>
    <n v="20.02"/>
    <n v="0.71499999999999997"/>
    <n v="3"/>
    <n v="70080"/>
    <m/>
    <m/>
    <n v="1"/>
    <n v="0.94499999999999995"/>
    <n v="66225.599999999991"/>
    <n v="62262"/>
    <n v="62670"/>
    <n v="60606"/>
    <n v="71010"/>
    <n v="42554"/>
    <n v="67165"/>
    <n v="1.0141848469474042"/>
    <m/>
    <s v="유지관리내역(단위 : 백만원)_x000a_  - 2016.08.05. : PC구매 및 교체                  (0.59)_x000a_  - 2016.07.22. : 이설공사                           (62.645)_x000a_  - 2016.11.11. : 인버터 내부 IGBT보드 교체 (1.9)_x000a_  - 2018.08.08. : 인버터 교체공사           (20.02)_x000a_  - 2019.07.08. : 태양광모듈 교체                  (0.715)_x000a_  - 2020.08.12. : 태양광현황판 교체           (3)"/>
    <s v="ㅇ"/>
    <s v="인버터"/>
    <n v="23.225000000000001"/>
    <n v="64"/>
    <m/>
    <s v="ㅇ"/>
    <s v="ㅇ"/>
  </r>
  <r>
    <n v="121"/>
    <x v="120"/>
    <n v="131"/>
    <x v="3"/>
    <n v="7"/>
    <x v="29"/>
    <x v="120"/>
    <s v="중랑구 망우로87길 110"/>
    <s v="-"/>
    <n v="20"/>
    <n v="114"/>
    <n v="5.7"/>
    <n v="0.79387186629526463"/>
    <m/>
    <n v="2"/>
    <n v="20"/>
    <n v="12.016"/>
    <s v="수리비용"/>
    <s v="-"/>
    <s v="-"/>
    <s v="-"/>
    <s v="-"/>
    <n v="2"/>
    <n v="23360"/>
    <n v="30"/>
    <n v="0"/>
    <n v="0.999"/>
    <n v="0.94499999999999995"/>
    <n v="22053.124799999998"/>
    <n v="22357"/>
    <n v="22212"/>
    <n v="22212"/>
    <n v="22630"/>
    <n v="11089"/>
    <n v="21200"/>
    <n v="0.96131501509482242"/>
    <m/>
    <m/>
    <s v="ㅇ"/>
    <s v="접속반"/>
    <n v="2"/>
    <n v="2"/>
    <m/>
    <s v="ㅇ"/>
    <s v="ㅇ"/>
  </r>
  <r>
    <n v="122"/>
    <x v="121"/>
    <n v="113"/>
    <x v="3"/>
    <n v="8"/>
    <x v="5"/>
    <x v="121"/>
    <s v="용산구 동부이촌동 동부이촌지하차도 상부"/>
    <s v="LG전자(주)"/>
    <n v="31.68"/>
    <n v="213"/>
    <n v="6.7234848484848486"/>
    <n v="0.93641850257449144"/>
    <m/>
    <n v="16.2"/>
    <n v="102.27272727272727"/>
    <n v="6.0013439999999996"/>
    <s v="소모품교체 등"/>
    <n v="1"/>
    <s v="-"/>
    <n v="0.2"/>
    <n v="15"/>
    <s v="-"/>
    <n v="37002.240000000005"/>
    <m/>
    <m/>
    <n v="1"/>
    <n v="0.94499999999999995"/>
    <n v="34967.116800000003"/>
    <n v="34363"/>
    <n v="36475"/>
    <n v="36735"/>
    <n v="36843"/>
    <n v="24173"/>
    <n v="38598"/>
    <n v="1.103837077010593"/>
    <m/>
    <s v="16.6월 LED모듈 및 파워서플라이 수리, 19.10월 노후인버터 및 전광판 고장 수리"/>
    <s v="x"/>
    <m/>
    <m/>
    <m/>
    <m/>
    <s v="ㅇ"/>
    <s v="ㅇ"/>
  </r>
  <r>
    <n v="125"/>
    <x v="122"/>
    <n v="132"/>
    <x v="3"/>
    <n v="12"/>
    <x v="5"/>
    <x v="122"/>
    <s v="광진구 능동 18"/>
    <s v="LG전자(주)"/>
    <n v="10"/>
    <n v="0"/>
    <n v="0"/>
    <n v="0"/>
    <m/>
    <n v="2"/>
    <n v="40"/>
    <n v="5.008"/>
    <s v="수리비용"/>
    <s v="-"/>
    <s v="-"/>
    <s v="-"/>
    <s v="-"/>
    <n v="2"/>
    <n v="11680"/>
    <m/>
    <m/>
    <n v="1"/>
    <n v="0.94499999999999995"/>
    <n v="11037.599999999999"/>
    <n v="8009"/>
    <n v="9871"/>
    <n v="7329"/>
    <n v="9601"/>
    <n v="5821"/>
    <n v="11193"/>
    <n v="1.0140791476407915"/>
    <m/>
    <s v="20.8월 인버터 교체"/>
    <s v="ㅇ"/>
    <s v="인버터"/>
    <n v="2"/>
    <n v="5"/>
    <m/>
    <s v="ㅇ"/>
    <s v="ㅇ"/>
  </r>
  <r>
    <n v="124"/>
    <x v="123"/>
    <n v="135"/>
    <x v="3"/>
    <n v="12"/>
    <x v="5"/>
    <x v="123"/>
    <s v="광진구 능동 18"/>
    <s v="LG전자(주)"/>
    <n v="15"/>
    <n v="0"/>
    <n v="0"/>
    <n v="0"/>
    <m/>
    <n v="3.28"/>
    <n v="43.733333333333334"/>
    <n v="7.2320000000000011"/>
    <s v="수리비용"/>
    <s v="-"/>
    <s v="-"/>
    <n v="0.38"/>
    <s v="-"/>
    <n v="2.9"/>
    <n v="17520"/>
    <m/>
    <m/>
    <n v="1"/>
    <n v="0.94499999999999995"/>
    <n v="16556.399999999998"/>
    <n v="16800"/>
    <n v="15355"/>
    <n v="15015"/>
    <n v="15878"/>
    <n v="10287"/>
    <n v="15887"/>
    <n v="0.95956850523060577"/>
    <m/>
    <s v="18.12월 인버터 및 모니터링설비 고장으로 수리, 20.1월 모니터링 설비 및 접속반 교체"/>
    <s v="ㅇ"/>
    <s v="모니터링, 접속반"/>
    <n v="3.3"/>
    <n v="10"/>
    <m/>
    <s v="ㅇ"/>
    <s v="ㅇ"/>
  </r>
  <r>
    <n v="126"/>
    <x v="124"/>
    <n v="115"/>
    <x v="3"/>
    <n v="12"/>
    <x v="5"/>
    <x v="124"/>
    <s v="광진구 능동 18"/>
    <s v="LG전자(주)"/>
    <n v="30"/>
    <n v="215"/>
    <n v="7.166666666666667"/>
    <n v="0.99814298978644389"/>
    <m/>
    <n v="0.1"/>
    <n v="0.66666666666666674"/>
    <n v="20.923999999999999"/>
    <s v="수리비용"/>
    <s v="-"/>
    <s v="-"/>
    <s v="-"/>
    <s v="-"/>
    <n v="0.1"/>
    <n v="35040"/>
    <m/>
    <m/>
    <n v="1"/>
    <n v="0.94499999999999995"/>
    <n v="33112.799999999996"/>
    <n v="33800"/>
    <n v="35800"/>
    <n v="34560"/>
    <n v="34210"/>
    <n v="17762"/>
    <n v="36558"/>
    <n v="1.1040443574690151"/>
    <m/>
    <s v="20.3월 인버터 보수"/>
    <s v="ㅇ"/>
    <s v="인버터"/>
    <n v="0.1"/>
    <n v="10"/>
    <m/>
    <s v="ㅇ"/>
    <s v="ㅇ"/>
  </r>
  <r>
    <n v="123"/>
    <x v="125"/>
    <n v="145"/>
    <x v="3"/>
    <n v="12"/>
    <x v="5"/>
    <x v="125"/>
    <s v="광진구 능동 18"/>
    <s v="LG전자(주)"/>
    <n v="20"/>
    <n v="0"/>
    <n v="0"/>
    <n v="0"/>
    <m/>
    <n v="0.3"/>
    <n v="3"/>
    <n v="13.715999999999999"/>
    <m/>
    <n v="0.3"/>
    <s v="-"/>
    <s v="-"/>
    <s v="-"/>
    <s v="-"/>
    <n v="23360"/>
    <m/>
    <m/>
    <n v="1"/>
    <n v="0.94499999999999995"/>
    <n v="22075.199999999997"/>
    <n v="11928"/>
    <n v="11461"/>
    <n v="23368"/>
    <n v="23178"/>
    <n v="17120"/>
    <n v="24843"/>
    <n v="1.1253805175038054"/>
    <m/>
    <s v="16.1월 인버터 및 모니터링설비 고장으로 수리"/>
    <s v="x"/>
    <m/>
    <m/>
    <m/>
    <m/>
    <s v="ㅇ"/>
    <s v="ㅇ"/>
  </r>
  <r>
    <n v="127"/>
    <x v="126"/>
    <n v="128"/>
    <x v="3"/>
    <n v="12"/>
    <x v="5"/>
    <x v="126"/>
    <s v="광진구 능동 18"/>
    <s v="LG전자(주)"/>
    <n v="15"/>
    <n v="107"/>
    <n v="7.1333333333333337"/>
    <n v="0.99350046425255345"/>
    <m/>
    <n v="1.48"/>
    <n v="19.733333333333331"/>
    <n v="9.032"/>
    <s v="수리비용"/>
    <s v="-"/>
    <s v="-"/>
    <s v="-"/>
    <n v="1.32"/>
    <n v="0.16"/>
    <n v="17520"/>
    <m/>
    <m/>
    <n v="1"/>
    <n v="0.94499999999999995"/>
    <n v="16556.399999999998"/>
    <n v="17803"/>
    <n v="18498"/>
    <n v="18124"/>
    <n v="17880"/>
    <n v="10982"/>
    <n v="16904"/>
    <n v="1.0209949022734413"/>
    <m/>
    <s v="19.2월 모니터링 설비보수(숲속무대화장실), 20.6월 인버터 보수(축구장화장실)"/>
    <s v="ㅇ"/>
    <s v="모니터링, 인버터"/>
    <n v="1.5"/>
    <n v="10"/>
    <m/>
    <s v="ㅇ"/>
    <s v="ㅇ"/>
  </r>
  <r>
    <n v="130"/>
    <x v="127"/>
    <n v="197"/>
    <x v="3"/>
    <n v="6"/>
    <x v="6"/>
    <x v="127"/>
    <s v="강남구 개포동 12"/>
    <s v="㈜정우기전"/>
    <n v="50"/>
    <n v="253"/>
    <n v="5.0599999999999996"/>
    <n v="0.70473537604456826"/>
    <m/>
    <n v="0"/>
    <n v="0"/>
    <n v="35.04"/>
    <m/>
    <s v="-"/>
    <s v="-"/>
    <s v="-"/>
    <s v="-"/>
    <s v="-"/>
    <n v="58400"/>
    <m/>
    <m/>
    <n v="1"/>
    <n v="0.94499999999999995"/>
    <n v="55188"/>
    <n v="67998"/>
    <n v="68665"/>
    <n v="65752"/>
    <n v="66842"/>
    <n v="26207"/>
    <n v="63804"/>
    <n v="1.1561208958469233"/>
    <m/>
    <m/>
    <s v="x"/>
    <m/>
    <m/>
    <m/>
    <m/>
    <s v="ㅇ"/>
    <s v="ㅇ"/>
  </r>
  <r>
    <n v="129"/>
    <x v="128"/>
    <n v="194"/>
    <x v="3"/>
    <n v="6"/>
    <x v="6"/>
    <x v="128"/>
    <s v="관악구 상도동 430"/>
    <s v="㈜미성전력"/>
    <n v="40"/>
    <n v="196"/>
    <n v="4.9000000000000004"/>
    <n v="0.68245125348189428"/>
    <m/>
    <n v="0"/>
    <n v="0"/>
    <n v="28.032"/>
    <m/>
    <s v="-"/>
    <s v="-"/>
    <s v="-"/>
    <s v="-"/>
    <s v="-"/>
    <n v="46720"/>
    <m/>
    <m/>
    <n v="1"/>
    <n v="0.94499999999999995"/>
    <n v="44150.399999999994"/>
    <n v="49327"/>
    <n v="50963"/>
    <n v="51297"/>
    <n v="48035"/>
    <n v="31503"/>
    <n v="48996"/>
    <n v="1.1097521200260927"/>
    <m/>
    <m/>
    <s v="x"/>
    <m/>
    <m/>
    <m/>
    <m/>
    <s v="ㅇ"/>
    <s v="ㅇ"/>
  </r>
  <r>
    <n v="131"/>
    <x v="129"/>
    <n v="123"/>
    <x v="3"/>
    <n v="6"/>
    <x v="6"/>
    <x v="129"/>
    <s v="중랑구 면동4동 1382"/>
    <s v="㈜정우기전"/>
    <n v="50"/>
    <n v="246"/>
    <n v="4.92"/>
    <n v="0.68523676880222839"/>
    <m/>
    <n v="1"/>
    <n v="4"/>
    <n v="34.04"/>
    <s v="수리비용"/>
    <s v="-"/>
    <n v="1"/>
    <s v="-"/>
    <s v="-"/>
    <s v="-"/>
    <n v="58400"/>
    <m/>
    <m/>
    <n v="1"/>
    <n v="0.94499999999999995"/>
    <n v="55188"/>
    <n v="49175"/>
    <n v="55333"/>
    <n v="65874"/>
    <n v="53512"/>
    <n v="38953"/>
    <n v="61848"/>
    <n v="1.1206784083496413"/>
    <m/>
    <m/>
    <s v="ㅇ"/>
    <s v="인버터"/>
    <n v="1"/>
    <n v="90"/>
    <m/>
    <s v="ㅇ"/>
    <s v="ㅇ"/>
  </r>
  <r>
    <n v="132"/>
    <x v="130"/>
    <n v="159"/>
    <x v="3"/>
    <n v="6"/>
    <x v="6"/>
    <x v="130"/>
    <s v="강남구 일원1동 711"/>
    <s v="㈜정우기전"/>
    <n v="50"/>
    <n v="235"/>
    <n v="4.7"/>
    <n v="0.65459610027855153"/>
    <m/>
    <n v="0"/>
    <n v="0"/>
    <n v="35.04"/>
    <m/>
    <s v="-"/>
    <s v="-"/>
    <s v="-"/>
    <s v="-"/>
    <s v="-"/>
    <n v="58400"/>
    <m/>
    <m/>
    <n v="1"/>
    <n v="0.94499999999999995"/>
    <n v="55188"/>
    <n v="49394"/>
    <n v="69277"/>
    <n v="69214"/>
    <n v="68784"/>
    <n v="26600"/>
    <n v="49960"/>
    <n v="0.90526926143364495"/>
    <m/>
    <m/>
    <s v="x"/>
    <m/>
    <m/>
    <m/>
    <m/>
    <s v="ㅇ"/>
    <s v="ㅇ"/>
  </r>
  <r>
    <n v="128"/>
    <x v="131"/>
    <n v="192"/>
    <x v="3"/>
    <n v="6"/>
    <x v="6"/>
    <x v="131"/>
    <s v="강남구 수서동 723"/>
    <s v="엘지하우시스"/>
    <n v="50"/>
    <n v="282"/>
    <n v="5.64"/>
    <n v="0.78551532033426186"/>
    <m/>
    <n v="0"/>
    <n v="0"/>
    <n v="35.04"/>
    <m/>
    <s v="-"/>
    <s v="-"/>
    <s v="-"/>
    <s v="-"/>
    <s v="-"/>
    <n v="58400"/>
    <m/>
    <m/>
    <n v="1"/>
    <n v="0.94499999999999995"/>
    <n v="55188"/>
    <n v="66935"/>
    <n v="71068"/>
    <n v="71229"/>
    <n v="71029"/>
    <n v="34380"/>
    <n v="61035"/>
    <n v="1.1059469449880408"/>
    <m/>
    <m/>
    <s v="x"/>
    <m/>
    <m/>
    <m/>
    <m/>
    <s v="ㅇ"/>
    <s v="ㅇ"/>
  </r>
  <r>
    <n v="133"/>
    <x v="132"/>
    <n v="182"/>
    <x v="3"/>
    <n v="6"/>
    <x v="6"/>
    <x v="132"/>
    <s v="중랑구 신내동 660"/>
    <s v="㈜정우기전"/>
    <n v="50"/>
    <n v="246"/>
    <n v="4.92"/>
    <n v="0.68523676880222839"/>
    <m/>
    <n v="0"/>
    <n v="0"/>
    <n v="35.04"/>
    <m/>
    <s v="-"/>
    <s v="-"/>
    <s v="-"/>
    <s v="-"/>
    <s v="-"/>
    <n v="58400"/>
    <m/>
    <m/>
    <n v="1"/>
    <n v="0.94499999999999995"/>
    <n v="55188"/>
    <n v="66269"/>
    <n v="70300"/>
    <n v="69480"/>
    <n v="47018"/>
    <n v="36811"/>
    <n v="58986"/>
    <n v="1.0688193085453359"/>
    <m/>
    <m/>
    <s v="x"/>
    <m/>
    <m/>
    <m/>
    <m/>
    <s v="ㅇ"/>
    <s v="ㅇ"/>
  </r>
  <r>
    <n v="134"/>
    <x v="133"/>
    <n v="191"/>
    <x v="3"/>
    <n v="6"/>
    <x v="6"/>
    <x v="133"/>
    <s v="중랑구 상봉1동 481"/>
    <s v="㈜정우기전"/>
    <n v="50"/>
    <n v="292"/>
    <n v="5.84"/>
    <n v="0.8133704735376045"/>
    <m/>
    <n v="0"/>
    <n v="0"/>
    <n v="35.04"/>
    <m/>
    <s v="-"/>
    <s v="-"/>
    <s v="-"/>
    <s v="-"/>
    <s v="-"/>
    <n v="58400"/>
    <m/>
    <m/>
    <n v="1"/>
    <n v="0.94499999999999995"/>
    <n v="55188"/>
    <n v="48827"/>
    <n v="55035"/>
    <n v="56651"/>
    <n v="54588"/>
    <n v="31377"/>
    <n v="60983"/>
    <n v="1.1050047111690948"/>
    <m/>
    <m/>
    <s v="x"/>
    <m/>
    <m/>
    <m/>
    <m/>
    <s v="ㅇ"/>
    <s v="ㅇ"/>
  </r>
  <r>
    <n v="135"/>
    <x v="134"/>
    <n v="148"/>
    <x v="3"/>
    <n v="6"/>
    <x v="6"/>
    <x v="134"/>
    <s v="신정로14길 1"/>
    <s v="㈜정우기전"/>
    <n v="50"/>
    <n v="288"/>
    <n v="5.76"/>
    <n v="0.8022284122562674"/>
    <m/>
    <n v="7"/>
    <n v="28.000000000000004"/>
    <n v="28.04"/>
    <s v="수리비용"/>
    <s v="-"/>
    <s v="-"/>
    <s v="-"/>
    <n v="7"/>
    <s v="-"/>
    <n v="58400"/>
    <m/>
    <m/>
    <n v="1"/>
    <n v="0.94499999999999995"/>
    <n v="55188"/>
    <n v="65686"/>
    <n v="66635"/>
    <n v="66033"/>
    <n v="65453"/>
    <n v="37858"/>
    <n v="69804"/>
    <n v="1.2648401826484019"/>
    <m/>
    <m/>
    <s v="ㅇ"/>
    <s v="인버터, 접속반"/>
    <n v="7"/>
    <n v="10"/>
    <m/>
    <s v="ㅇ"/>
    <s v="ㅇ"/>
  </r>
  <r>
    <n v="136"/>
    <x v="135"/>
    <n v="198"/>
    <x v="3"/>
    <n v="6"/>
    <x v="6"/>
    <x v="135"/>
    <s v="양천구 신정3동 1258"/>
    <s v="㈜정우기전"/>
    <n v="50"/>
    <n v="243"/>
    <n v="4.8600000000000003"/>
    <n v="0.67688022284122573"/>
    <m/>
    <n v="0"/>
    <n v="0"/>
    <n v="35.04"/>
    <m/>
    <s v="-"/>
    <s v="-"/>
    <s v="-"/>
    <s v="-"/>
    <s v="-"/>
    <n v="58400"/>
    <m/>
    <m/>
    <n v="1"/>
    <n v="0.94499999999999995"/>
    <n v="55188"/>
    <n v="68328"/>
    <n v="68706"/>
    <n v="71135"/>
    <n v="67951"/>
    <n v="38582"/>
    <n v="64029"/>
    <n v="1.1601978691019788"/>
    <m/>
    <m/>
    <s v="x"/>
    <m/>
    <m/>
    <m/>
    <m/>
    <s v="ㅇ"/>
    <s v="ㅇ"/>
  </r>
  <r>
    <n v="137"/>
    <x v="136"/>
    <n v="196"/>
    <x v="3"/>
    <n v="6"/>
    <x v="6"/>
    <x v="136"/>
    <s v="노원구 월계4동 320-9"/>
    <s v="㈜정우기전"/>
    <n v="50"/>
    <n v="256"/>
    <n v="5.12"/>
    <n v="0.71309192200557103"/>
    <m/>
    <n v="0"/>
    <n v="0"/>
    <n v="35.04"/>
    <m/>
    <s v="-"/>
    <s v="-"/>
    <s v="-"/>
    <s v="-"/>
    <s v="-"/>
    <n v="58400"/>
    <m/>
    <m/>
    <n v="1"/>
    <n v="0.94499999999999995"/>
    <n v="55188"/>
    <n v="0"/>
    <n v="0"/>
    <m/>
    <m/>
    <s v="(누적)636,000"/>
    <n v="62472"/>
    <n v="1.131985214176995"/>
    <m/>
    <m/>
    <s v="x"/>
    <m/>
    <m/>
    <m/>
    <m/>
    <s v="ㅇ"/>
    <s v="ㅇ"/>
  </r>
  <r>
    <n v="138"/>
    <x v="137"/>
    <n v="189"/>
    <x v="3"/>
    <n v="12"/>
    <x v="6"/>
    <x v="137"/>
    <s v="구암길 106(봉천동 1712-1)"/>
    <s v="㈜미성전력"/>
    <n v="40"/>
    <n v="198"/>
    <n v="4.95"/>
    <n v="0.68941504178272983"/>
    <m/>
    <n v="0"/>
    <n v="0"/>
    <n v="28.032"/>
    <m/>
    <s v="-"/>
    <s v="-"/>
    <s v="-"/>
    <s v="-"/>
    <s v="-"/>
    <n v="46720"/>
    <m/>
    <m/>
    <n v="1"/>
    <n v="0.94499999999999995"/>
    <n v="44150.399999999994"/>
    <n v="0"/>
    <n v="0"/>
    <m/>
    <m/>
    <s v="(누적)464,787"/>
    <n v="48312"/>
    <n v="1.0942596216568821"/>
    <m/>
    <m/>
    <s v="x"/>
    <m/>
    <m/>
    <m/>
    <m/>
    <s v="ㅇ"/>
    <s v="ㅇ"/>
  </r>
  <r>
    <n v="139"/>
    <x v="138"/>
    <n v="163"/>
    <x v="3"/>
    <n v="10"/>
    <x v="53"/>
    <x v="138"/>
    <s v="중구 태평로1가 60-1"/>
    <s v="㈜다쓰테크"/>
    <n v="30"/>
    <n v="207"/>
    <n v="6.9"/>
    <n v="0.96100278551532037"/>
    <m/>
    <n v="0"/>
    <n v="0"/>
    <n v="21.024000000000001"/>
    <m/>
    <s v="-"/>
    <s v="-"/>
    <s v="-"/>
    <s v="-"/>
    <s v="-"/>
    <n v="35040"/>
    <n v="11"/>
    <n v="0"/>
    <n v="0.94199999999999995"/>
    <n v="0.94499999999999995"/>
    <n v="31192.257599999997"/>
    <n v="27901"/>
    <n v="22502"/>
    <n v="21126"/>
    <n v="25231"/>
    <n v="18641"/>
    <n v="29451"/>
    <n v="0.94417660874921738"/>
    <m/>
    <s v="시설 노후 및 긴 장마로 인한 일조량 감소"/>
    <s v="x"/>
    <m/>
    <m/>
    <m/>
    <m/>
    <s v="ㅇ"/>
    <s v="ㅇ"/>
  </r>
  <r>
    <n v="140"/>
    <x v="139"/>
    <n v="177"/>
    <x v="3"/>
    <n v="8"/>
    <x v="33"/>
    <x v="139"/>
    <s v="종로구 명륜3가 147-1"/>
    <s v="LS산전㈜"/>
    <n v="10"/>
    <n v="87"/>
    <n v="8.6999999999999993"/>
    <n v="1.2116991643454038"/>
    <s v="구조물"/>
    <n v="0"/>
    <n v="0"/>
    <n v="7.008"/>
    <m/>
    <s v="-"/>
    <s v="-"/>
    <s v="-"/>
    <s v="-"/>
    <s v="-"/>
    <n v="11680"/>
    <m/>
    <m/>
    <n v="1"/>
    <n v="0.94499999999999995"/>
    <n v="11037.599999999999"/>
    <n v="0"/>
    <n v="0"/>
    <s v="-"/>
    <s v="-"/>
    <n v="6768"/>
    <n v="11199"/>
    <n v="1.014622744074799"/>
    <m/>
    <m/>
    <s v="x"/>
    <m/>
    <m/>
    <m/>
    <m/>
    <s v="ㅇ"/>
    <s v="ㅇ"/>
  </r>
  <r>
    <n v="141"/>
    <x v="140"/>
    <n v="188"/>
    <x v="3"/>
    <n v="9"/>
    <x v="54"/>
    <x v="140"/>
    <s v="중구 다산로38길 66-35"/>
    <s v="(주)케이디파워"/>
    <n v="4.8"/>
    <n v="45"/>
    <n v="9.375"/>
    <n v="1.3057103064066853"/>
    <s v="구조물"/>
    <n v="0"/>
    <n v="0"/>
    <n v="3.3638400000000002"/>
    <m/>
    <s v="-"/>
    <s v="-"/>
    <s v="-"/>
    <s v="-"/>
    <s v="-"/>
    <n v="5606.4"/>
    <m/>
    <m/>
    <n v="1"/>
    <n v="0.94499999999999995"/>
    <n v="5298.0479999999998"/>
    <n v="5155"/>
    <n v="5455"/>
    <n v="5767"/>
    <n v="5544"/>
    <n v="3385"/>
    <n v="5788"/>
    <n v="1.0924778333454133"/>
    <m/>
    <m/>
    <s v="x"/>
    <m/>
    <m/>
    <m/>
    <m/>
    <s v="ㅇ"/>
    <s v="ㅇ"/>
  </r>
  <r>
    <n v="143"/>
    <x v="141"/>
    <n v="203"/>
    <x v="3"/>
    <n v="10"/>
    <x v="54"/>
    <x v="141"/>
    <s v="중구 흥인동 131"/>
    <s v="㈜에이스파워텍"/>
    <n v="65"/>
    <n v="466"/>
    <n v="7.1692307692307695"/>
    <n v="0.99850010713520476"/>
    <m/>
    <n v="0"/>
    <n v="0"/>
    <n v="45.552"/>
    <m/>
    <s v="-"/>
    <s v="-"/>
    <s v="-"/>
    <s v="-"/>
    <s v="-"/>
    <n v="75920"/>
    <m/>
    <m/>
    <n v="1"/>
    <n v="0.94499999999999995"/>
    <n v="71744.399999999994"/>
    <n v="90155"/>
    <n v="93226"/>
    <n v="93400"/>
    <n v="88532"/>
    <n v="56984"/>
    <n v="88782"/>
    <n v="1.237476374462676"/>
    <m/>
    <m/>
    <s v="x"/>
    <m/>
    <m/>
    <m/>
    <m/>
    <s v="ㅇ"/>
    <s v="ㅇ"/>
  </r>
  <r>
    <n v="142"/>
    <x v="142"/>
    <n v="204"/>
    <x v="3"/>
    <n v="10"/>
    <x v="54"/>
    <x v="142"/>
    <s v="중구 장충단로8길 22"/>
    <s v="㈜에이스파워텍"/>
    <n v="5"/>
    <n v="20"/>
    <n v="4"/>
    <n v="0.55710306406685239"/>
    <m/>
    <n v="0"/>
    <n v="0"/>
    <n v="3.504"/>
    <m/>
    <s v="-"/>
    <s v="-"/>
    <s v="-"/>
    <s v="-"/>
    <s v="-"/>
    <n v="5840"/>
    <m/>
    <m/>
    <n v="1"/>
    <n v="0.94499999999999995"/>
    <n v="5518.7999999999993"/>
    <n v="5912"/>
    <n v="5824"/>
    <n v="5815"/>
    <n v="6974"/>
    <n v="3252"/>
    <n v="6997"/>
    <n v="1.2678480829165761"/>
    <m/>
    <m/>
    <s v="x"/>
    <m/>
    <m/>
    <m/>
    <m/>
    <s v="ㅇ"/>
    <s v="ㅇ"/>
  </r>
  <r>
    <n v="144"/>
    <x v="143"/>
    <n v="141"/>
    <x v="3"/>
    <n v="1"/>
    <x v="34"/>
    <x v="143"/>
    <s v="용산구 녹사평대로 150"/>
    <s v="sma, 헥스파워스시템"/>
    <n v="186"/>
    <n v="1619"/>
    <n v="8.7043010752688179"/>
    <n v="1.2122981998981641"/>
    <s v="구조물"/>
    <n v="3.73"/>
    <n v="4.010752688172043"/>
    <n v="126.61880000000004"/>
    <s v="수리비용"/>
    <s v="-"/>
    <n v="0.25"/>
    <n v="0.33"/>
    <n v="3.15"/>
    <s v="-"/>
    <n v="217248.00000000003"/>
    <m/>
    <m/>
    <n v="1"/>
    <n v="0.94499999999999995"/>
    <n v="205299.36000000002"/>
    <n v="130184"/>
    <n v="98742"/>
    <n v="110110"/>
    <n v="110709"/>
    <n v="118053"/>
    <n v="183830"/>
    <n v="0.89542412601773325"/>
    <m/>
    <m/>
    <s v="ㅇ"/>
    <s v="인버터, 모듈"/>
    <n v="3.73"/>
    <n v="3"/>
    <m/>
    <s v="ㅇ"/>
    <s v="ㅇ"/>
  </r>
  <r>
    <n v="146"/>
    <x v="144"/>
    <n v="165"/>
    <x v="3"/>
    <n v="4"/>
    <x v="34"/>
    <x v="144"/>
    <s v="용산구효창원로 161"/>
    <s v="헥스파워시스템"/>
    <n v="15"/>
    <n v="138"/>
    <n v="9.1999999999999993"/>
    <n v="1.2813370473537604"/>
    <s v="구조물"/>
    <n v="0"/>
    <n v="0"/>
    <n v="10.512"/>
    <m/>
    <s v="-"/>
    <s v="-"/>
    <s v="-"/>
    <s v="-"/>
    <s v="-"/>
    <n v="17520"/>
    <m/>
    <m/>
    <n v="1"/>
    <n v="0.94499999999999995"/>
    <n v="16556.399999999998"/>
    <n v="17390"/>
    <n v="17833"/>
    <n v="17915"/>
    <n v="17151"/>
    <n v="10413"/>
    <n v="15683"/>
    <n v="0.94724698605977153"/>
    <m/>
    <m/>
    <s v="x"/>
    <m/>
    <m/>
    <m/>
    <m/>
    <s v="ㅇ"/>
    <s v="ㅇ"/>
  </r>
  <r>
    <n v="145"/>
    <x v="145"/>
    <n v="162"/>
    <x v="3"/>
    <n v="6"/>
    <x v="34"/>
    <x v="145"/>
    <s v="용산구 청파로49길 6"/>
    <s v="이앤에이치㈜"/>
    <n v="20"/>
    <n v="146"/>
    <n v="7.3"/>
    <n v="1.0167130919220055"/>
    <m/>
    <n v="0"/>
    <n v="0"/>
    <n v="14.016"/>
    <m/>
    <s v="-"/>
    <s v="-"/>
    <s v="-"/>
    <s v="-"/>
    <s v="-"/>
    <n v="23360"/>
    <m/>
    <m/>
    <n v="1"/>
    <n v="0.94499999999999995"/>
    <n v="22075.199999999997"/>
    <n v="21238"/>
    <n v="21236"/>
    <n v="21239"/>
    <n v="21238"/>
    <n v="13503"/>
    <n v="20705"/>
    <n v="0.9379303471769227"/>
    <m/>
    <m/>
    <s v="x"/>
    <m/>
    <m/>
    <m/>
    <m/>
    <s v="ㅇ"/>
    <s v="ㅇ"/>
  </r>
  <r>
    <n v="147"/>
    <x v="146"/>
    <n v="129"/>
    <x v="3"/>
    <n v="5"/>
    <x v="55"/>
    <x v="146"/>
    <s v="성동구 응봉동 210-3"/>
    <s v="㈜케이디파워"/>
    <n v="10"/>
    <n v="69"/>
    <n v="6.9"/>
    <n v="0.96100278551532037"/>
    <m/>
    <n v="1.5"/>
    <n v="30"/>
    <n v="5.508"/>
    <s v="수리비용"/>
    <s v="-"/>
    <n v="1.5"/>
    <s v="-"/>
    <s v="-"/>
    <s v="-"/>
    <n v="11680"/>
    <m/>
    <m/>
    <n v="1"/>
    <n v="0.94499999999999995"/>
    <n v="11037.599999999999"/>
    <n v="10507"/>
    <n v="8637"/>
    <n v="11844"/>
    <n v="11432"/>
    <n v="6881"/>
    <n v="10920.67"/>
    <n v="0.98940621149525276"/>
    <m/>
    <m/>
    <s v="ㅇ"/>
    <s v="인버터"/>
    <n v="1.5"/>
    <n v="21"/>
    <m/>
    <s v="ㅇ"/>
    <s v="ㅇ"/>
  </r>
  <r>
    <n v="149"/>
    <x v="147"/>
    <n v="174"/>
    <x v="3"/>
    <n v="5"/>
    <x v="55"/>
    <x v="147"/>
    <s v="성동구 독서당로40길 41-1"/>
    <s v="㈜케이디파워"/>
    <n v="10"/>
    <n v="69"/>
    <n v="6.9"/>
    <n v="0.96100278551532037"/>
    <m/>
    <n v="0"/>
    <n v="0"/>
    <n v="7.008"/>
    <m/>
    <s v="-"/>
    <s v="-"/>
    <s v="-"/>
    <s v="-"/>
    <s v="-"/>
    <n v="11680"/>
    <m/>
    <m/>
    <n v="1"/>
    <n v="0.94499999999999995"/>
    <n v="11037.599999999999"/>
    <n v="11181"/>
    <n v="11724"/>
    <n v="11844"/>
    <n v="11272"/>
    <n v="6814"/>
    <n v="10997"/>
    <n v="0.99632166412988343"/>
    <m/>
    <m/>
    <s v="x"/>
    <m/>
    <m/>
    <m/>
    <m/>
    <s v="ㅇ"/>
    <s v="ㅇ"/>
  </r>
  <r>
    <n v="148"/>
    <x v="148"/>
    <n v="154"/>
    <x v="3"/>
    <n v="5"/>
    <x v="55"/>
    <x v="148"/>
    <s v="성동구 성수1가2동 671-19"/>
    <s v="㈜케이디파워"/>
    <n v="10"/>
    <n v="69"/>
    <n v="6.9"/>
    <n v="0.96100278551532037"/>
    <m/>
    <n v="0"/>
    <n v="0"/>
    <n v="7.008"/>
    <m/>
    <s v="-"/>
    <s v="-"/>
    <s v="-"/>
    <s v="-"/>
    <s v="-"/>
    <n v="11680"/>
    <n v="17"/>
    <n v="-67"/>
    <n v="0.92400000000000004"/>
    <n v="0.94499999999999995"/>
    <n v="10198.742399999999"/>
    <n v="11317"/>
    <n v="11949"/>
    <n v="12149"/>
    <n v="10869"/>
    <n v="2948"/>
    <n v="8156.9"/>
    <n v="0.79979468841177914"/>
    <m/>
    <m/>
    <s v="x"/>
    <m/>
    <m/>
    <m/>
    <m/>
    <s v="ㅇ"/>
    <s v="ㅇ"/>
  </r>
  <r>
    <n v="154"/>
    <x v="149"/>
    <n v="169"/>
    <x v="3"/>
    <n v="4"/>
    <x v="13"/>
    <x v="149"/>
    <s v="광진구 뚝섬로 26길58"/>
    <s v="LS산전㈜"/>
    <n v="5"/>
    <n v="39"/>
    <n v="7.8"/>
    <n v="1.0863509749303621"/>
    <m/>
    <n v="0"/>
    <n v="0"/>
    <n v="3.504"/>
    <m/>
    <s v="-"/>
    <s v="-"/>
    <s v="-"/>
    <s v="-"/>
    <s v="-"/>
    <n v="5840"/>
    <m/>
    <m/>
    <n v="1"/>
    <n v="0.94499999999999995"/>
    <n v="5518.7999999999993"/>
    <n v="0"/>
    <s v="-"/>
    <n v="3598"/>
    <n v="3598"/>
    <n v="1946"/>
    <n v="5340"/>
    <n v="0.96760165253315955"/>
    <m/>
    <m/>
    <s v="x"/>
    <m/>
    <m/>
    <m/>
    <m/>
    <s v="ㅇ"/>
    <s v="ㅇ"/>
  </r>
  <r>
    <n v="155"/>
    <x v="150"/>
    <n v="158"/>
    <x v="3"/>
    <n v="7"/>
    <x v="13"/>
    <x v="150"/>
    <s v="광진구 능동 152-1"/>
    <s v="㈜다쓰테크"/>
    <n v="5"/>
    <n v="25"/>
    <n v="5"/>
    <n v="0.69637883008356549"/>
    <m/>
    <n v="0"/>
    <n v="0"/>
    <n v="3.504"/>
    <m/>
    <s v="-"/>
    <s v="-"/>
    <s v="-"/>
    <s v="-"/>
    <s v="-"/>
    <n v="5840"/>
    <m/>
    <m/>
    <n v="1"/>
    <n v="0.94499999999999995"/>
    <n v="5518.7999999999993"/>
    <n v="0"/>
    <s v="-"/>
    <s v="-"/>
    <n v="4200"/>
    <n v="2782"/>
    <n v="4924"/>
    <n v="0.89222294701746774"/>
    <m/>
    <s v="2011년 이전 설치 노후화로 발전효율 감소"/>
    <s v="x"/>
    <m/>
    <m/>
    <m/>
    <m/>
    <s v="ㅇ"/>
    <s v="ㅇ"/>
  </r>
  <r>
    <n v="151"/>
    <x v="151"/>
    <n v="172"/>
    <x v="3"/>
    <n v="7"/>
    <x v="13"/>
    <x v="151"/>
    <s v="광진구 뚝섬로 52길 74"/>
    <s v="㈜다쓰테크"/>
    <n v="10"/>
    <n v="52"/>
    <n v="5.2"/>
    <n v="0.72423398328690813"/>
    <m/>
    <n v="0"/>
    <n v="0"/>
    <n v="7.008"/>
    <m/>
    <s v="-"/>
    <s v="-"/>
    <s v="-"/>
    <s v="-"/>
    <s v="-"/>
    <n v="11680"/>
    <m/>
    <m/>
    <n v="1"/>
    <n v="0.94499999999999995"/>
    <n v="11037.599999999999"/>
    <n v="0"/>
    <s v="-"/>
    <s v="-"/>
    <n v="7000"/>
    <n v="5689"/>
    <n v="10959"/>
    <n v="0.99287888671450331"/>
    <m/>
    <m/>
    <s v="x"/>
    <m/>
    <m/>
    <m/>
    <m/>
    <s v="ㅇ"/>
    <s v="ㅇ"/>
  </r>
  <r>
    <n v="150"/>
    <x v="152"/>
    <n v="199"/>
    <x v="3"/>
    <n v="7"/>
    <x v="13"/>
    <x v="152"/>
    <s v="광진구 긴고랑로 131"/>
    <s v="㈜동이에스코"/>
    <n v="20"/>
    <n v="110"/>
    <n v="5.5"/>
    <n v="0.76601671309192199"/>
    <m/>
    <n v="0"/>
    <n v="0"/>
    <n v="14.016"/>
    <m/>
    <s v="-"/>
    <s v="-"/>
    <m/>
    <m/>
    <m/>
    <n v="23360"/>
    <m/>
    <m/>
    <n v="1"/>
    <n v="0.94499999999999995"/>
    <n v="22075.199999999997"/>
    <n v="0"/>
    <s v="-"/>
    <n v="22351"/>
    <n v="22351"/>
    <s v="(누적)236,393"/>
    <n v="25616"/>
    <n v="1.1603971877944481"/>
    <m/>
    <m/>
    <s v="x"/>
    <m/>
    <m/>
    <m/>
    <m/>
    <s v="ㅇ"/>
    <s v="ㅇ"/>
  </r>
  <r>
    <n v="153"/>
    <x v="153"/>
    <n v="161"/>
    <x v="3"/>
    <n v="7"/>
    <x v="13"/>
    <x v="153"/>
    <s v="광진구 능동산로 17길 39"/>
    <s v="㈜다쓰테크"/>
    <n v="10"/>
    <n v="52"/>
    <n v="5.2"/>
    <n v="0.72423398328690813"/>
    <m/>
    <n v="0"/>
    <n v="0"/>
    <n v="7.008"/>
    <m/>
    <s v="-"/>
    <s v="-"/>
    <s v="-"/>
    <s v="-"/>
    <s v="-"/>
    <n v="11680"/>
    <m/>
    <m/>
    <n v="1"/>
    <n v="0.94499999999999995"/>
    <n v="11037.599999999999"/>
    <n v="0"/>
    <s v="-"/>
    <s v="-"/>
    <n v="8000"/>
    <n v="5415"/>
    <n v="10306"/>
    <n v="0.93371747481336531"/>
    <m/>
    <m/>
    <s v="x"/>
    <m/>
    <m/>
    <m/>
    <m/>
    <s v="ㅇ"/>
    <s v="ㅇ"/>
  </r>
  <r>
    <n v="152"/>
    <x v="154"/>
    <n v="153"/>
    <x v="3"/>
    <n v="11"/>
    <x v="13"/>
    <x v="154"/>
    <s v="광진구 중곡3동 177-14"/>
    <s v="sma technology"/>
    <n v="10"/>
    <n v="50"/>
    <n v="5"/>
    <n v="0.69637883008356549"/>
    <m/>
    <n v="0"/>
    <n v="0"/>
    <n v="7.008"/>
    <m/>
    <s v="-"/>
    <s v="-"/>
    <s v="-"/>
    <s v="-"/>
    <s v="-"/>
    <n v="11680"/>
    <m/>
    <m/>
    <n v="1"/>
    <n v="0.94499999999999995"/>
    <n v="11037.599999999999"/>
    <n v="0"/>
    <s v="-"/>
    <s v="-"/>
    <n v="11000"/>
    <n v="5512"/>
    <n v="8649"/>
    <n v="0.78359425962165696"/>
    <s v="시설노후"/>
    <s v="2011년 이전 설치 노후화로 발전효율 감소"/>
    <s v="x"/>
    <m/>
    <m/>
    <m/>
    <m/>
    <s v="ㅇ"/>
    <s v="ㅇ"/>
  </r>
  <r>
    <n v="159"/>
    <x v="155"/>
    <n v="142"/>
    <x v="3"/>
    <n v="4"/>
    <x v="35"/>
    <x v="155"/>
    <s v="성동구 청계천로 598 (용답동 129-25)"/>
    <s v="㈜삼광산전"/>
    <n v="10"/>
    <n v="76"/>
    <n v="7.6"/>
    <n v="1.0584958217270195"/>
    <m/>
    <n v="0.45999999999999996"/>
    <n v="9.1999999999999993"/>
    <n v="6.548"/>
    <m/>
    <n v="0.03"/>
    <n v="0.03"/>
    <n v="0.2"/>
    <n v="0.1"/>
    <n v="0.1"/>
    <n v="11680"/>
    <n v="20"/>
    <n v="25"/>
    <n v="0.96599999999999997"/>
    <n v="0.94499999999999995"/>
    <n v="10662.321599999999"/>
    <n v="9765"/>
    <n v="10140"/>
    <n v="10300"/>
    <n v="12139"/>
    <n v="6034"/>
    <n v="10060"/>
    <n v="0.94350933852904983"/>
    <m/>
    <s v="노후화 추정"/>
    <s v="x"/>
    <m/>
    <m/>
    <m/>
    <m/>
    <s v="ㅇ"/>
    <s v="ㅇ"/>
  </r>
  <r>
    <n v="156"/>
    <x v="156"/>
    <n v="187"/>
    <x v="3"/>
    <n v="4"/>
    <x v="35"/>
    <x v="156"/>
    <s v="동대문구 외대역동로6길 3 (휘경동 135-9)"/>
    <s v="㈜삼광산전"/>
    <n v="20"/>
    <n v="143"/>
    <n v="7.15"/>
    <n v="0.99582172701949867"/>
    <m/>
    <n v="0"/>
    <n v="0"/>
    <n v="14.016"/>
    <m/>
    <s v="-"/>
    <s v="-"/>
    <s v="-"/>
    <s v="-"/>
    <s v="-"/>
    <n v="23360"/>
    <n v="20"/>
    <n v="0"/>
    <n v="0.98199999999999998"/>
    <n v="0.94499999999999995"/>
    <n v="21677.846399999999"/>
    <n v="24226"/>
    <n v="25309"/>
    <n v="25099"/>
    <n v="22788"/>
    <n v="14908"/>
    <n v="23465"/>
    <n v="1.0824414735220194"/>
    <m/>
    <m/>
    <s v="x"/>
    <m/>
    <m/>
    <m/>
    <m/>
    <s v="ㅇ"/>
    <s v="ㅇ"/>
  </r>
  <r>
    <n v="160"/>
    <x v="157"/>
    <n v="157"/>
    <x v="3"/>
    <n v="12"/>
    <x v="35"/>
    <x v="157"/>
    <s v="동대문구 장한로 191 (장안동 300)"/>
    <s v="㈜윌링스"/>
    <n v="10"/>
    <n v="65"/>
    <n v="6.5"/>
    <n v="0.90529247910863508"/>
    <m/>
    <n v="0"/>
    <n v="0"/>
    <n v="7.008"/>
    <m/>
    <s v="-"/>
    <s v="-"/>
    <s v="-"/>
    <s v="-"/>
    <s v="-"/>
    <n v="11680"/>
    <n v="20"/>
    <n v="3"/>
    <n v="0.98099999999999998"/>
    <n v="0.94499999999999995"/>
    <n v="10827.8856"/>
    <n v="11984.98"/>
    <n v="12423.81"/>
    <n v="7956"/>
    <n v="8972.9500000000007"/>
    <n v="7491.25"/>
    <n v="9524"/>
    <n v="0.87958077429262826"/>
    <m/>
    <s v="09/11~11/13 인버터 교체작업으로 가동 중단"/>
    <s v="x"/>
    <m/>
    <m/>
    <m/>
    <m/>
    <s v="ㅇ"/>
    <s v="ㅇ"/>
  </r>
  <r>
    <n v="157"/>
    <x v="158"/>
    <n v="138"/>
    <x v="3"/>
    <n v="12"/>
    <x v="35"/>
    <x v="158"/>
    <s v="동대문구 청계천로13길 13 (용두동 129-274)"/>
    <s v="㈜윌링스"/>
    <n v="20"/>
    <n v="123"/>
    <n v="6.15"/>
    <n v="0.85654596100278557"/>
    <m/>
    <n v="0.52"/>
    <n v="5.2000000000000011"/>
    <n v="13.496"/>
    <m/>
    <n v="0.06"/>
    <n v="0.06"/>
    <n v="0.2"/>
    <n v="0.1"/>
    <n v="0.1"/>
    <n v="23360"/>
    <n v="20"/>
    <n v="-5"/>
    <n v="0.97899999999999998"/>
    <n v="0.94499999999999995"/>
    <n v="21611.620800000001"/>
    <n v="25500"/>
    <n v="25362"/>
    <n v="25693"/>
    <n v="23043"/>
    <n v="14335"/>
    <n v="23339"/>
    <n v="1.0799282578565323"/>
    <m/>
    <m/>
    <s v="x"/>
    <m/>
    <m/>
    <m/>
    <m/>
    <s v="ㅇ"/>
    <s v="ㅇ"/>
  </r>
  <r>
    <n v="158"/>
    <x v="159"/>
    <n v="137"/>
    <x v="3"/>
    <n v="12"/>
    <x v="35"/>
    <x v="159"/>
    <s v="동대문구 사가정로 238-5 (장안동 301-4)"/>
    <s v="㈜윌링스"/>
    <n v="20"/>
    <n v="123"/>
    <n v="6.15"/>
    <n v="0.85654596100278557"/>
    <m/>
    <n v="0.52"/>
    <n v="5.2000000000000011"/>
    <n v="13.496"/>
    <m/>
    <n v="0.06"/>
    <n v="0.06"/>
    <n v="0.2"/>
    <n v="0.1"/>
    <n v="0.1"/>
    <n v="23360"/>
    <n v="20"/>
    <n v="3"/>
    <n v="0.98099999999999998"/>
    <n v="0.94499999999999995"/>
    <n v="21655.771199999999"/>
    <n v="24492"/>
    <n v="24967"/>
    <n v="24548"/>
    <n v="26652"/>
    <n v="15549"/>
    <n v="17936"/>
    <n v="0.8282318756673972"/>
    <m/>
    <s v="10/24 이후 발전량 누락(모니터링 전원 꺼짐)"/>
    <s v="x"/>
    <m/>
    <m/>
    <m/>
    <m/>
    <s v="ㅇ"/>
    <s v="ㅇ"/>
  </r>
  <r>
    <n v="161"/>
    <x v="160"/>
    <n v="121"/>
    <x v="3"/>
    <n v="6"/>
    <x v="7"/>
    <x v="160"/>
    <s v="성북구 하월곡동 201"/>
    <s v="㈜삼광산전"/>
    <n v="20"/>
    <n v="158"/>
    <n v="7.9"/>
    <n v="1.1002785515320335"/>
    <s v="구조물"/>
    <n v="0.95700000000000007"/>
    <n v="9.57"/>
    <n v="13.058999999999999"/>
    <s v="안전점검"/>
    <s v="-"/>
    <s v="-"/>
    <n v="0.8"/>
    <s v="-"/>
    <n v="0.157"/>
    <n v="23360"/>
    <m/>
    <m/>
    <n v="1"/>
    <n v="0.94499999999999995"/>
    <n v="22075.199999999997"/>
    <n v="21262"/>
    <n v="24025"/>
    <n v="24450"/>
    <n v="23740"/>
    <n v="9955"/>
    <n v="21669"/>
    <n v="0.98159926070884984"/>
    <m/>
    <m/>
    <s v="ㅇ"/>
    <s v="기타"/>
    <n v="0.83"/>
    <n v="6"/>
    <m/>
    <s v="ㅇ"/>
    <s v="ㅇ"/>
  </r>
  <r>
    <n v="162"/>
    <x v="161"/>
    <n v="116"/>
    <x v="3"/>
    <n v="6"/>
    <x v="7"/>
    <x v="161"/>
    <s v="성북구 장위3동 77-64"/>
    <s v="LS산전㈜"/>
    <n v="10"/>
    <n v="69"/>
    <n v="6.9"/>
    <n v="0.96100278551532037"/>
    <m/>
    <n v="0.157"/>
    <n v="3.1399999999999997"/>
    <n v="6.851"/>
    <m/>
    <s v="-"/>
    <s v="-"/>
    <s v="-"/>
    <s v="-"/>
    <n v="0.157"/>
    <n v="11680"/>
    <m/>
    <m/>
    <n v="1"/>
    <n v="0.94499999999999995"/>
    <n v="11037.599999999999"/>
    <n v="0"/>
    <n v="0"/>
    <n v="11637"/>
    <n v="2951"/>
    <n v="8154"/>
    <n v="12938"/>
    <n v="1.172175110531275"/>
    <m/>
    <m/>
    <s v="ㅇ"/>
    <s v="모니터링"/>
    <n v="1.8"/>
    <n v="267"/>
    <s v="정상발전중"/>
    <s v="ㅇ"/>
    <s v="ㅇ"/>
  </r>
  <r>
    <n v="163"/>
    <x v="162"/>
    <n v="125"/>
    <x v="3"/>
    <n v="5"/>
    <x v="37"/>
    <x v="162"/>
    <s v="강북구 삼양로 299"/>
    <s v="㈜삼광전선"/>
    <n v="3"/>
    <n v="34"/>
    <n v="11.333333333333334"/>
    <n v="1.5784586815227486"/>
    <s v="구조물"/>
    <n v="1.1000000000000001"/>
    <n v="73.333333333333329"/>
    <n v="1.0024000000000002"/>
    <s v="수리비용"/>
    <s v="-"/>
    <s v="-"/>
    <n v="1.1000000000000001"/>
    <s v="-"/>
    <s v="-"/>
    <n v="3504.0000000000005"/>
    <m/>
    <m/>
    <n v="1"/>
    <n v="0.94499999999999995"/>
    <n v="3311.28"/>
    <n v="6133"/>
    <n v="6032"/>
    <n v="5981"/>
    <n v="5896"/>
    <n v="1543"/>
    <n v="3146"/>
    <n v="0.9500857674373655"/>
    <m/>
    <m/>
    <s v="ㅇ"/>
    <s v="인버터"/>
    <n v="1.1000000000000001"/>
    <n v="1"/>
    <m/>
    <s v="ㅇ"/>
    <s v="ㅇ"/>
  </r>
  <r>
    <n v="166"/>
    <x v="163"/>
    <n v="178"/>
    <x v="3"/>
    <n v="5"/>
    <x v="38"/>
    <x v="163"/>
    <s v="노원구 공릉동 406-1"/>
    <s v="LS산전"/>
    <n v="20"/>
    <n v="177"/>
    <n v="8.85"/>
    <n v="1.2325905292479109"/>
    <s v="구조물"/>
    <n v="0"/>
    <n v="0"/>
    <n v="14.016"/>
    <m/>
    <s v="-"/>
    <s v="-"/>
    <s v="-"/>
    <s v="-"/>
    <s v="-"/>
    <n v="23360"/>
    <m/>
    <m/>
    <n v="1"/>
    <n v="0.94499999999999995"/>
    <n v="22075.199999999997"/>
    <n v="25653"/>
    <n v="21781"/>
    <s v="-"/>
    <n v="24444"/>
    <n v="12936"/>
    <n v="22965"/>
    <n v="1.0403076755816483"/>
    <m/>
    <m/>
    <s v="x"/>
    <m/>
    <m/>
    <m/>
    <m/>
    <s v="ㅇ"/>
    <s v="ㅇ"/>
  </r>
  <r>
    <n v="164"/>
    <x v="164"/>
    <n v="175"/>
    <x v="3"/>
    <n v="6"/>
    <x v="38"/>
    <x v="164"/>
    <s v="노원구 동일로 186길 3-24"/>
    <s v="LS산전"/>
    <n v="10"/>
    <n v="89"/>
    <n v="8.9"/>
    <n v="1.2395543175487467"/>
    <s v="구조물"/>
    <n v="0"/>
    <n v="0"/>
    <n v="7.008"/>
    <m/>
    <s v="-"/>
    <s v="-"/>
    <s v="-"/>
    <s v="-"/>
    <s v="-"/>
    <n v="11680"/>
    <m/>
    <m/>
    <n v="1"/>
    <n v="0.94499999999999995"/>
    <n v="11037.599999999999"/>
    <n v="6582"/>
    <n v="6968"/>
    <n v="6364"/>
    <n v="11874"/>
    <n v="6255"/>
    <n v="11036"/>
    <n v="0.99985504095093147"/>
    <m/>
    <m/>
    <s v="x"/>
    <m/>
    <m/>
    <m/>
    <m/>
    <s v="ㅇ"/>
    <s v="ㅇ"/>
  </r>
  <r>
    <n v="165"/>
    <x v="165"/>
    <n v="130"/>
    <x v="3"/>
    <n v="6"/>
    <x v="38"/>
    <x v="165"/>
    <s v="노원구 공릉동 87-7"/>
    <s v="이앤에이치㈜"/>
    <n v="20"/>
    <n v="147"/>
    <n v="7.35"/>
    <n v="1.0236768802228413"/>
    <s v="구조물"/>
    <n v="1.94"/>
    <n v="19.400000000000002"/>
    <n v="12.076000000000001"/>
    <s v="수리비용"/>
    <s v="-"/>
    <s v="-"/>
    <s v="-"/>
    <s v="-"/>
    <n v="1.94"/>
    <n v="23360"/>
    <m/>
    <m/>
    <n v="1"/>
    <n v="0.94499999999999995"/>
    <n v="22075.199999999997"/>
    <s v="-"/>
    <s v="-"/>
    <s v="-"/>
    <n v="23710"/>
    <n v="13005"/>
    <n v="21416"/>
    <n v="0.97013843589186066"/>
    <m/>
    <m/>
    <s v="ㅇ"/>
    <s v="접속반"/>
    <n v="1.9"/>
    <n v="1"/>
    <m/>
    <s v="ㅇ"/>
    <s v="ㅇ"/>
  </r>
  <r>
    <n v="167"/>
    <x v="166"/>
    <n v="166"/>
    <x v="3"/>
    <n v="6"/>
    <x v="38"/>
    <x v="166"/>
    <s v="노원구 노해로 437"/>
    <s v="에이스파워텍"/>
    <n v="32"/>
    <n v="189"/>
    <n v="5.90625"/>
    <n v="0.82259749303621177"/>
    <m/>
    <n v="0"/>
    <n v="0"/>
    <n v="22.425599999999999"/>
    <m/>
    <s v="-"/>
    <s v="-"/>
    <s v="-"/>
    <s v="-"/>
    <s v="-"/>
    <n v="37376"/>
    <m/>
    <m/>
    <n v="1"/>
    <n v="0.94499999999999995"/>
    <n v="35320.32"/>
    <n v="40540"/>
    <n v="41642"/>
    <s v="-"/>
    <n v="42948"/>
    <n v="20916"/>
    <n v="33621"/>
    <n v="0.95188831811263319"/>
    <m/>
    <m/>
    <s v="x"/>
    <m/>
    <m/>
    <m/>
    <m/>
    <s v="ㅇ"/>
    <s v="ㅇ"/>
  </r>
  <r>
    <n v="168"/>
    <x v="167"/>
    <n v="181"/>
    <x v="3"/>
    <n v="6"/>
    <x v="38"/>
    <x v="167"/>
    <s v="노원구 하계1동 256"/>
    <s v="㈜삼광산전"/>
    <n v="20"/>
    <n v="147"/>
    <n v="7.35"/>
    <n v="1.0236768802228413"/>
    <s v="구조물"/>
    <n v="0"/>
    <n v="0"/>
    <n v="14.016"/>
    <m/>
    <s v="-"/>
    <s v="-"/>
    <s v="-"/>
    <s v="-"/>
    <s v="-"/>
    <n v="23360"/>
    <m/>
    <m/>
    <n v="1"/>
    <n v="0.94499999999999995"/>
    <n v="22075.199999999997"/>
    <n v="20051"/>
    <n v="28342"/>
    <n v="24908"/>
    <n v="23191"/>
    <n v="13662"/>
    <n v="23518"/>
    <n v="1.0653584112488224"/>
    <m/>
    <m/>
    <s v="x"/>
    <m/>
    <m/>
    <m/>
    <m/>
    <s v="ㅇ"/>
    <s v="ㅇ"/>
  </r>
  <r>
    <n v="169"/>
    <x v="168"/>
    <n v="201"/>
    <x v="3"/>
    <n v="6"/>
    <x v="38"/>
    <x v="168"/>
    <s v="노원구 중계동 501-1"/>
    <s v="LS산전"/>
    <n v="15"/>
    <n v="107"/>
    <n v="7.1333333333333337"/>
    <n v="0.99350046425255345"/>
    <m/>
    <n v="0"/>
    <n v="0"/>
    <n v="10.512"/>
    <m/>
    <s v="-"/>
    <s v="-"/>
    <s v="-"/>
    <s v="-"/>
    <s v="-"/>
    <n v="17520"/>
    <m/>
    <m/>
    <n v="1"/>
    <n v="0.94499999999999995"/>
    <n v="16556.399999999998"/>
    <n v="19567"/>
    <n v="20470"/>
    <n v="20421"/>
    <n v="19710"/>
    <n v="9927"/>
    <n v="19811"/>
    <n v="1.1965765504578292"/>
    <m/>
    <m/>
    <s v="x"/>
    <m/>
    <m/>
    <m/>
    <m/>
    <s v="ㅇ"/>
    <s v="ㅇ"/>
  </r>
  <r>
    <n v="170"/>
    <x v="169"/>
    <n v="114"/>
    <x v="3"/>
    <n v="1"/>
    <x v="39"/>
    <x v="169"/>
    <s v="은평구 연서로 59"/>
    <s v="㈜에스에너지"/>
    <n v="10"/>
    <n v="65"/>
    <n v="6.5"/>
    <n v="0.90529247910863508"/>
    <m/>
    <n v="0"/>
    <n v="0"/>
    <n v="7.008"/>
    <m/>
    <s v="-"/>
    <s v="-"/>
    <s v="-"/>
    <s v="-"/>
    <s v="-"/>
    <n v="11680"/>
    <n v="29"/>
    <n v="0"/>
    <n v="0.999"/>
    <n v="0.94499999999999995"/>
    <n v="11026.562399999999"/>
    <n v="11463"/>
    <n v="8977"/>
    <n v="12580"/>
    <n v="7682"/>
    <s v="(누적)113140"/>
    <n v="11748"/>
    <n v="1.065427245031507"/>
    <m/>
    <m/>
    <s v="ㅇ"/>
    <s v="인버터"/>
    <n v="1"/>
    <n v="30"/>
    <m/>
    <s v="ㅇ"/>
    <s v="ㅇ"/>
  </r>
  <r>
    <n v="171"/>
    <x v="170"/>
    <n v="186"/>
    <x v="3"/>
    <n v="6"/>
    <x v="39"/>
    <x v="170"/>
    <s v="은평구 은평로 195"/>
    <s v="에코스"/>
    <n v="10"/>
    <n v="91"/>
    <n v="9.1"/>
    <n v="1.2674094707520891"/>
    <s v="구조물"/>
    <n v="0"/>
    <n v="0"/>
    <n v="7.008"/>
    <m/>
    <s v="-"/>
    <s v="-"/>
    <s v="-"/>
    <s v="-"/>
    <s v="-"/>
    <n v="11680"/>
    <n v="20"/>
    <n v="0"/>
    <n v="0.98099999999999998"/>
    <n v="0.94499999999999995"/>
    <n v="10827.8856"/>
    <n v="12236"/>
    <n v="12371"/>
    <n v="11534"/>
    <n v="12704"/>
    <s v="(누적)122011"/>
    <n v="11716"/>
    <n v="1.0820210364985756"/>
    <m/>
    <m/>
    <s v="x"/>
    <m/>
    <m/>
    <m/>
    <m/>
    <s v="ㅇ"/>
    <s v="ㅇ"/>
  </r>
  <r>
    <n v="172"/>
    <x v="171"/>
    <n v="167"/>
    <x v="3"/>
    <n v="7"/>
    <x v="39"/>
    <x v="171"/>
    <s v="은평구 통일로 1152"/>
    <s v="헥스파워시스템㈜"/>
    <n v="50"/>
    <n v="145"/>
    <n v="2.9"/>
    <n v="0.40389972144846797"/>
    <m/>
    <n v="0"/>
    <n v="0"/>
    <n v="35.04"/>
    <m/>
    <s v="-"/>
    <s v="-"/>
    <s v="-"/>
    <s v="-"/>
    <s v="-"/>
    <n v="58400"/>
    <n v="16"/>
    <n v="0"/>
    <n v="0.96399999999999997"/>
    <n v="0.94499999999999995"/>
    <n v="53201.231999999996"/>
    <n v="43825"/>
    <n v="44925"/>
    <n v="54779"/>
    <n v="55834"/>
    <s v="(누적)387748"/>
    <n v="50966"/>
    <n v="0.95798533387347129"/>
    <m/>
    <m/>
    <s v="x"/>
    <m/>
    <m/>
    <m/>
    <m/>
    <s v="ㅇ"/>
    <s v="ㅇ"/>
  </r>
  <r>
    <n v="174"/>
    <x v="172"/>
    <n v="185"/>
    <x v="3"/>
    <n v="10"/>
    <x v="39"/>
    <x v="172"/>
    <s v="은평구 은평로2길 (신사동29-2)"/>
    <s v="S-에너지"/>
    <n v="10"/>
    <n v="91"/>
    <n v="9.1"/>
    <n v="1.2674094707520891"/>
    <s v="구조물"/>
    <n v="0"/>
    <n v="0"/>
    <n v="7.008"/>
    <m/>
    <s v="-"/>
    <s v="-"/>
    <s v="-"/>
    <s v="-"/>
    <s v="-"/>
    <n v="11680"/>
    <n v="29"/>
    <n v="0"/>
    <n v="0.999"/>
    <n v="0.94499999999999995"/>
    <n v="11026.562399999999"/>
    <n v="11362"/>
    <n v="10587"/>
    <n v="11256"/>
    <n v="11625"/>
    <s v="(누적)126421"/>
    <n v="11895"/>
    <n v="1.0787586891087653"/>
    <m/>
    <m/>
    <s v="x"/>
    <m/>
    <m/>
    <m/>
    <m/>
    <s v="ㅇ"/>
    <s v="ㅇ"/>
  </r>
  <r>
    <n v="173"/>
    <x v="173"/>
    <n v="150"/>
    <x v="3"/>
    <n v="10"/>
    <x v="39"/>
    <x v="173"/>
    <s v="은평구 진관2로 31 (진관동78)"/>
    <s v="㈜케이디파워"/>
    <n v="9.6"/>
    <n v="91"/>
    <n v="9.4791666666666679"/>
    <n v="1.3202181987000932"/>
    <s v="구조물"/>
    <n v="0"/>
    <n v="0"/>
    <n v="6.7276800000000003"/>
    <m/>
    <s v="-"/>
    <s v="-"/>
    <s v="-"/>
    <s v="-"/>
    <s v="-"/>
    <n v="11212.8"/>
    <n v="30"/>
    <n v="0"/>
    <n v="0.999"/>
    <n v="0.94499999999999995"/>
    <n v="10585.499903999998"/>
    <n v="10050"/>
    <n v="9650"/>
    <n v="10420"/>
    <n v="10025"/>
    <s v="(누적)109,671"/>
    <s v="-"/>
    <n v="0"/>
    <s v="시설 정비중"/>
    <s v="인버터교체공사 예정"/>
    <s v="x"/>
    <m/>
    <m/>
    <m/>
    <m/>
    <s v="ㅇ"/>
    <s v="ㅇ"/>
  </r>
  <r>
    <n v="175"/>
    <x v="174"/>
    <n v="124"/>
    <x v="3"/>
    <n v="6"/>
    <x v="40"/>
    <x v="174"/>
    <s v="서대문구 세검정로1길 116"/>
    <s v="㈜이맥스시스템"/>
    <n v="5"/>
    <n v="28"/>
    <n v="5.6"/>
    <n v="0.77994428969359331"/>
    <m/>
    <n v="1.5000000000000002"/>
    <n v="60.000000000000014"/>
    <n v="2.0039999999999996"/>
    <s v="안전관리"/>
    <s v="-"/>
    <n v="0.2"/>
    <n v="0.2"/>
    <n v="0.8"/>
    <n v="0.3"/>
    <n v="5840"/>
    <m/>
    <m/>
    <n v="1"/>
    <n v="0.94499999999999995"/>
    <n v="5518.7999999999993"/>
    <n v="0"/>
    <n v="0"/>
    <s v="-"/>
    <n v="1090"/>
    <n v="4200"/>
    <n v="6676"/>
    <n v="1.2096832644777853"/>
    <m/>
    <m/>
    <s v="x"/>
    <m/>
    <m/>
    <m/>
    <m/>
    <s v="ㅇ"/>
    <s v="ㅇ"/>
  </r>
  <r>
    <n v="178"/>
    <x v="175"/>
    <n v="168"/>
    <x v="3"/>
    <n v="9"/>
    <x v="15"/>
    <x v="175"/>
    <s v="마포구 빗물펌프장(난지)"/>
    <s v="㈜케이디파워"/>
    <n v="10"/>
    <n v="92"/>
    <n v="9.1999999999999993"/>
    <n v="1.2813370473537604"/>
    <s v="구조물"/>
    <n v="0"/>
    <n v="0"/>
    <n v="7.008"/>
    <m/>
    <s v="-"/>
    <s v="-"/>
    <s v="-"/>
    <s v="-"/>
    <s v="-"/>
    <n v="11680"/>
    <m/>
    <m/>
    <n v="1"/>
    <n v="0.94499999999999995"/>
    <n v="11037.599999999999"/>
    <n v="11302"/>
    <n v="11635"/>
    <n v="11661"/>
    <n v="9072"/>
    <n v="6763"/>
    <n v="10617"/>
    <n v="0.96189388997608183"/>
    <m/>
    <m/>
    <s v="x"/>
    <m/>
    <m/>
    <m/>
    <m/>
    <s v="ㅇ"/>
    <s v="ㅇ"/>
  </r>
  <r>
    <n v="179"/>
    <x v="176"/>
    <n v="151"/>
    <x v="3"/>
    <n v="9"/>
    <x v="15"/>
    <x v="176"/>
    <s v="마포구 토정로4길 55-9"/>
    <s v="㈜케이디파워"/>
    <n v="10"/>
    <n v="92"/>
    <n v="9.1999999999999993"/>
    <n v="1.2813370473537604"/>
    <s v="구조물"/>
    <n v="0"/>
    <n v="0"/>
    <n v="7.008"/>
    <m/>
    <m/>
    <m/>
    <m/>
    <m/>
    <m/>
    <n v="11680"/>
    <m/>
    <m/>
    <n v="1"/>
    <n v="0.94499999999999995"/>
    <n v="11037.599999999999"/>
    <n v="11530"/>
    <n v="11317"/>
    <n v="11987"/>
    <n v="1877"/>
    <n v="5177"/>
    <n v="8226"/>
    <n v="0.74527071102413578"/>
    <s v="시설정비"/>
    <s v="시설 수리에 따른 가동 중지(펌프장 증설공사, 공사에 따라 수시로 차단)"/>
    <s v="x"/>
    <m/>
    <m/>
    <m/>
    <m/>
    <s v="ㅇ"/>
    <s v="ㅇ"/>
  </r>
  <r>
    <n v="176"/>
    <x v="177"/>
    <n v="184"/>
    <x v="3"/>
    <n v="9"/>
    <x v="15"/>
    <x v="177"/>
    <s v="마포구 마포동 36-1"/>
    <s v="㈜케이디파워"/>
    <n v="10"/>
    <n v="92"/>
    <n v="9.1999999999999993"/>
    <n v="1.2813370473537604"/>
    <s v="구조물"/>
    <n v="0"/>
    <n v="0"/>
    <n v="7.008"/>
    <m/>
    <s v="-"/>
    <s v="-"/>
    <s v="-"/>
    <s v="-"/>
    <s v="-"/>
    <n v="11680"/>
    <m/>
    <m/>
    <n v="1"/>
    <n v="0.94499999999999995"/>
    <n v="11037.599999999999"/>
    <n v="12229"/>
    <n v="12756"/>
    <n v="12799"/>
    <n v="12799"/>
    <n v="7285"/>
    <n v="11812"/>
    <n v="1.0701601797492211"/>
    <m/>
    <m/>
    <s v="x"/>
    <m/>
    <m/>
    <m/>
    <m/>
    <s v="ㅇ"/>
    <s v="ㅇ"/>
  </r>
  <r>
    <n v="177"/>
    <x v="178"/>
    <n v="173"/>
    <x v="3"/>
    <n v="9"/>
    <x v="15"/>
    <x v="178"/>
    <s v="마포구 동교로 7"/>
    <s v="㈜케이디파워"/>
    <n v="10"/>
    <n v="92"/>
    <n v="9.1999999999999993"/>
    <n v="1.2813370473537604"/>
    <s v="구조물"/>
    <n v="0"/>
    <n v="0"/>
    <n v="7.008"/>
    <m/>
    <s v="-"/>
    <s v="-"/>
    <s v="-"/>
    <s v="-"/>
    <s v="-"/>
    <n v="11680"/>
    <m/>
    <m/>
    <n v="1"/>
    <n v="0.94499999999999995"/>
    <n v="11037.599999999999"/>
    <n v="8485"/>
    <n v="9184"/>
    <n v="11594"/>
    <n v="9220"/>
    <n v="6882"/>
    <n v="10972"/>
    <n v="0.99405667898818595"/>
    <m/>
    <m/>
    <s v="x"/>
    <m/>
    <m/>
    <m/>
    <m/>
    <s v="ㅇ"/>
    <s v="ㅇ"/>
  </r>
  <r>
    <n v="180"/>
    <x v="179"/>
    <n v="155"/>
    <x v="3"/>
    <n v="10"/>
    <x v="56"/>
    <x v="179"/>
    <s v="양천구 목동동로 81"/>
    <s v="㈜이맥스시스템"/>
    <n v="50.4"/>
    <n v="221"/>
    <n v="4.3849206349206353"/>
    <n v="0.61071318035106348"/>
    <m/>
    <n v="0"/>
    <n v="0"/>
    <n v="35.320320000000002"/>
    <m/>
    <s v="-"/>
    <s v="-"/>
    <s v="-"/>
    <s v="-"/>
    <s v="-"/>
    <n v="58867.199999999997"/>
    <m/>
    <m/>
    <n v="1"/>
    <n v="0.94499999999999995"/>
    <n v="55629.503999999994"/>
    <n v="42203"/>
    <n v="46763"/>
    <n v="48298"/>
    <n v="45598"/>
    <n v="21476"/>
    <n v="44953"/>
    <n v="0.80807838948195554"/>
    <m/>
    <s v="패널 노화 및 오염으로 인해 효율 저하 추정"/>
    <s v="x"/>
    <m/>
    <m/>
    <m/>
    <m/>
    <s v="ㅇ"/>
    <s v="ㅇ"/>
  </r>
  <r>
    <n v="181"/>
    <x v="180"/>
    <n v="136"/>
    <x v="3"/>
    <n v="5"/>
    <x v="41"/>
    <x v="180"/>
    <s v="금천구 벚꽃로38길 35"/>
    <s v="LS산전㈜"/>
    <n v="5"/>
    <n v="29"/>
    <n v="5.8"/>
    <n v="0.80779944289693595"/>
    <m/>
    <n v="0.6"/>
    <n v="24"/>
    <n v="2.9039999999999999"/>
    <m/>
    <s v="-"/>
    <s v="-"/>
    <s v="-"/>
    <n v="0.6"/>
    <s v="-"/>
    <n v="5840"/>
    <m/>
    <m/>
    <n v="1"/>
    <n v="0.94499999999999995"/>
    <n v="5518.7999999999993"/>
    <s v="-"/>
    <s v="-"/>
    <n v="5658"/>
    <n v="5411"/>
    <n v="2706"/>
    <n v="5906"/>
    <n v="1.0701601797492211"/>
    <m/>
    <m/>
    <s v="x"/>
    <m/>
    <m/>
    <m/>
    <m/>
    <s v="ㅇ"/>
    <s v="ㅇ"/>
  </r>
  <r>
    <n v="182"/>
    <x v="181"/>
    <n v="117"/>
    <x v="3"/>
    <n v="5"/>
    <x v="41"/>
    <x v="181"/>
    <s v="금천구 독산로54길 251"/>
    <s v="LS산전㈜"/>
    <n v="5"/>
    <n v="33.5"/>
    <n v="6.7"/>
    <n v="0.93314763231197773"/>
    <m/>
    <n v="0.6"/>
    <n v="24"/>
    <n v="2.9039999999999999"/>
    <m/>
    <s v="-"/>
    <s v="-"/>
    <s v="-"/>
    <n v="0.6"/>
    <s v="-"/>
    <n v="5840"/>
    <m/>
    <m/>
    <n v="1"/>
    <n v="0.94499999999999995"/>
    <n v="5518.7999999999993"/>
    <s v="-"/>
    <s v="-"/>
    <n v="5658"/>
    <n v="3719"/>
    <n v="2900"/>
    <n v="5890"/>
    <n v="1.0672609987678483"/>
    <m/>
    <m/>
    <s v="ㅇ"/>
    <s v="인버터"/>
    <n v="0.1"/>
    <n v="20.2"/>
    <m/>
    <s v="ㅇ"/>
    <s v="ㅇ"/>
  </r>
  <r>
    <n v="183"/>
    <x v="182"/>
    <n v="134"/>
    <x v="3"/>
    <n v="5"/>
    <x v="41"/>
    <x v="182"/>
    <s v="금천구 시흥대로12길 82"/>
    <s v="LS산전㈜"/>
    <n v="5"/>
    <n v="33.5"/>
    <n v="6.7"/>
    <n v="0.93314763231197773"/>
    <m/>
    <n v="0.6"/>
    <n v="24"/>
    <n v="2.9039999999999999"/>
    <m/>
    <s v="-"/>
    <s v="-"/>
    <s v="-"/>
    <n v="0.6"/>
    <s v="-"/>
    <n v="5840"/>
    <m/>
    <m/>
    <n v="1"/>
    <n v="0.94499999999999995"/>
    <n v="5518.7999999999993"/>
    <s v="-"/>
    <s v="-"/>
    <n v="5658"/>
    <n v="6391"/>
    <n v="2700"/>
    <n v="5001"/>
    <n v="0.90617525549032407"/>
    <m/>
    <m/>
    <s v="x"/>
    <m/>
    <m/>
    <m/>
    <m/>
    <s v="x"/>
    <s v="ㅇ"/>
  </r>
  <r>
    <n v="184"/>
    <x v="183"/>
    <n v="127"/>
    <x v="3"/>
    <n v="5"/>
    <x v="41"/>
    <x v="183"/>
    <s v="금천구 시흥대로86길 20"/>
    <s v="LS산전㈜"/>
    <n v="10"/>
    <n v="69.5"/>
    <n v="6.95"/>
    <n v="0.96796657381615603"/>
    <m/>
    <n v="1.2"/>
    <n v="24"/>
    <n v="5.8079999999999998"/>
    <s v="수리비용"/>
    <s v="-"/>
    <s v="-"/>
    <s v="-"/>
    <n v="1.2"/>
    <s v="-"/>
    <n v="11680"/>
    <n v="30"/>
    <n v="20"/>
    <n v="0.99"/>
    <n v="0.94499999999999995"/>
    <n v="10927.224"/>
    <s v="-"/>
    <s v="-"/>
    <n v="11315"/>
    <n v="9857"/>
    <n v="4929"/>
    <n v="13090"/>
    <n v="1.1979254749422177"/>
    <m/>
    <s v="인버터 고장으로 인한 교체('20년 9월)"/>
    <s v="ㅇ"/>
    <s v="인버터"/>
    <n v="1.2"/>
    <n v="20.2"/>
    <m/>
    <s v="ㅇ"/>
    <s v="ㅇ"/>
  </r>
  <r>
    <n v="185"/>
    <x v="184"/>
    <n v="139"/>
    <x v="3"/>
    <n v="6"/>
    <x v="17"/>
    <x v="184"/>
    <s v="영등포구 디지털로 441"/>
    <s v="삼광산전"/>
    <n v="10"/>
    <n v="71"/>
    <n v="7.1"/>
    <n v="0.9888579387186629"/>
    <m/>
    <n v="0.5"/>
    <n v="10"/>
    <n v="6.508"/>
    <m/>
    <n v="0.1"/>
    <n v="0.1"/>
    <n v="0.1"/>
    <n v="0.1"/>
    <n v="0.1"/>
    <n v="11680"/>
    <n v="20"/>
    <n v="-10"/>
    <n v="0.97899999999999998"/>
    <n v="0.94499999999999995"/>
    <n v="10805.8104"/>
    <n v="1466"/>
    <n v="11818"/>
    <n v="12437"/>
    <n v="11860"/>
    <n v="7000"/>
    <n v="10593"/>
    <n v="0.98030592874366917"/>
    <m/>
    <m/>
    <s v="x"/>
    <m/>
    <m/>
    <m/>
    <m/>
    <s v="ㅇ"/>
    <s v="ㅇ"/>
  </r>
  <r>
    <n v="187"/>
    <x v="185"/>
    <n v="133"/>
    <x v="3"/>
    <n v="6"/>
    <x v="17"/>
    <x v="185"/>
    <s v="영등포구 대방천로 29-18"/>
    <s v="삼광산전"/>
    <n v="10"/>
    <n v="71"/>
    <n v="7.1"/>
    <n v="0.9888579387186629"/>
    <m/>
    <n v="0.8"/>
    <n v="16"/>
    <n v="6.2080000000000002"/>
    <m/>
    <n v="0.1"/>
    <n v="0.1"/>
    <n v="0.1"/>
    <n v="0.2"/>
    <n v="0.3"/>
    <n v="11680"/>
    <n v="20"/>
    <n v="-12"/>
    <n v="0.97899999999999998"/>
    <n v="0.94499999999999995"/>
    <n v="10805.8104"/>
    <n v="9154"/>
    <n v="12808"/>
    <n v="12716"/>
    <n v="11978.8"/>
    <n v="7300"/>
    <n v="11595"/>
    <n v="1.073033818916534"/>
    <m/>
    <m/>
    <s v="x"/>
    <m/>
    <m/>
    <m/>
    <m/>
    <s v="ㅇ"/>
    <s v="ㅇ"/>
  </r>
  <r>
    <n v="186"/>
    <x v="186"/>
    <n v="140"/>
    <x v="3"/>
    <n v="6"/>
    <x v="17"/>
    <x v="186"/>
    <s v="마포구 독막로 165 서강동주민센터 3층"/>
    <s v="삼광산전"/>
    <n v="10"/>
    <n v="71"/>
    <n v="7.1"/>
    <n v="0.9888579387186629"/>
    <m/>
    <n v="0.5"/>
    <n v="10"/>
    <n v="6.508"/>
    <m/>
    <n v="0.1"/>
    <n v="0.1"/>
    <n v="0.1"/>
    <n v="0.1"/>
    <n v="0.1"/>
    <n v="11680"/>
    <n v="20"/>
    <n v="-10"/>
    <n v="0.97899999999999998"/>
    <n v="0.94499999999999995"/>
    <n v="10805.8104"/>
    <n v="9258"/>
    <n v="12708"/>
    <n v="12443"/>
    <n v="12150"/>
    <n v="4500"/>
    <n v="11053"/>
    <n v="1.0228756188429884"/>
    <m/>
    <m/>
    <s v="x"/>
    <m/>
    <m/>
    <m/>
    <m/>
    <s v="ㅇ"/>
    <s v="ㅇ"/>
  </r>
  <r>
    <n v="188"/>
    <x v="187"/>
    <n v="143"/>
    <x v="3"/>
    <n v="9"/>
    <x v="17"/>
    <x v="187"/>
    <s v="영등포구 문래로 110"/>
    <s v="삼광산전"/>
    <n v="10"/>
    <n v="71"/>
    <n v="7.1"/>
    <n v="0.9888579387186629"/>
    <m/>
    <n v="0.40799999999999997"/>
    <n v="8.1599999999999984"/>
    <n v="6.6"/>
    <m/>
    <s v="-"/>
    <s v="-"/>
    <s v="-"/>
    <s v="-"/>
    <n v="0.40799999999999997"/>
    <n v="11680"/>
    <n v="20"/>
    <n v="0"/>
    <n v="0.98099999999999998"/>
    <n v="0.94499999999999995"/>
    <n v="10827.8856"/>
    <n v="1584"/>
    <n v="13287"/>
    <n v="13282"/>
    <n v="12525"/>
    <n v="6400"/>
    <n v="9289"/>
    <n v="0.85787755275138855"/>
    <m/>
    <s v="인버터 고장(현재 조치 완료)"/>
    <s v="x"/>
    <m/>
    <m/>
    <m/>
    <m/>
    <s v="ㅇ"/>
    <s v="ㅇ"/>
  </r>
  <r>
    <n v="189"/>
    <x v="188"/>
    <n v="126"/>
    <x v="3"/>
    <n v="5"/>
    <x v="42"/>
    <x v="188"/>
    <s v="동작구 장승배기로 161"/>
    <s v="㈜삼광삼전"/>
    <n v="10"/>
    <n v="86"/>
    <n v="8.6"/>
    <n v="1.1977715877437325"/>
    <m/>
    <n v="1.2"/>
    <n v="24"/>
    <n v="5.8079999999999998"/>
    <s v="수리비용"/>
    <s v="-"/>
    <s v="-"/>
    <s v="-"/>
    <s v="-"/>
    <n v="1.2"/>
    <n v="11680"/>
    <m/>
    <m/>
    <n v="1"/>
    <n v="0.94499999999999995"/>
    <n v="11037.599999999999"/>
    <n v="12698"/>
    <n v="12706"/>
    <n v="12642"/>
    <n v="12678"/>
    <n v="4620"/>
    <n v="9280.24"/>
    <n v="0.84078422845546141"/>
    <m/>
    <s v="2020.1~3월 인버터 고장(보수완료)"/>
    <s v="ㅇ"/>
    <s v="접속반"/>
    <n v="1.2"/>
    <n v="1"/>
    <m/>
    <s v="ㅇ"/>
    <s v="ㅇ"/>
  </r>
  <r>
    <n v="190"/>
    <x v="189"/>
    <n v="156"/>
    <x v="3"/>
    <n v="6"/>
    <x v="18"/>
    <x v="189"/>
    <s v="관악구 시흥대로 164길 27"/>
    <s v="우진기전㈜"/>
    <n v="17"/>
    <n v="134"/>
    <n v="7.882352941176471"/>
    <n v="1.0978207438964445"/>
    <m/>
    <n v="0"/>
    <n v="0"/>
    <n v="11.913600000000002"/>
    <m/>
    <s v="-"/>
    <s v="-"/>
    <s v="-"/>
    <s v="-"/>
    <s v="-"/>
    <n v="19856.000000000004"/>
    <m/>
    <m/>
    <n v="1"/>
    <n v="0.94499999999999995"/>
    <n v="18763.920000000002"/>
    <n v="12334"/>
    <n v="16243"/>
    <n v="16325"/>
    <n v="16154"/>
    <n v="10787"/>
    <n v="15430"/>
    <n v="0.8223228408562816"/>
    <m/>
    <s v=" 장마 등으로 발전효율 저하"/>
    <s v="x"/>
    <m/>
    <m/>
    <m/>
    <m/>
    <s v="ㅇ"/>
    <s v="ㅇ"/>
  </r>
  <r>
    <n v="191"/>
    <x v="190"/>
    <n v="152"/>
    <x v="3"/>
    <n v="12"/>
    <x v="18"/>
    <x v="190"/>
    <s v="관악구 신림동 409-197"/>
    <s v="우진기전㈜"/>
    <n v="10.8"/>
    <n v="71"/>
    <n v="6.5740740740740735"/>
    <n v="0.91560920251728051"/>
    <m/>
    <n v="0"/>
    <n v="0"/>
    <n v="7.5686400000000011"/>
    <m/>
    <s v="-"/>
    <s v="-"/>
    <s v="-"/>
    <s v="-"/>
    <s v="-"/>
    <n v="12614.400000000001"/>
    <m/>
    <m/>
    <n v="1"/>
    <n v="0.94499999999999995"/>
    <n v="11920.608"/>
    <n v="0"/>
    <n v="0"/>
    <n v="10200"/>
    <s v="-"/>
    <n v="5682"/>
    <n v="9035"/>
    <n v="0.75793113908283871"/>
    <s v="시설노후"/>
    <s v=" 2010년 준공된 시설물로 내구연한에 따른 발전효율저하"/>
    <s v="x"/>
    <m/>
    <m/>
    <m/>
    <m/>
    <s v="ㅇ"/>
    <s v="ㅇ"/>
  </r>
  <r>
    <n v="192"/>
    <x v="191"/>
    <n v="122"/>
    <x v="3"/>
    <n v="6"/>
    <x v="43"/>
    <x v="191"/>
    <s v="서초구 반포동 114-3"/>
    <s v="하이원전기㈜"/>
    <n v="20"/>
    <n v="173"/>
    <n v="8.65"/>
    <n v="1.2047353760445683"/>
    <s v="구조물"/>
    <n v="1"/>
    <n v="10"/>
    <n v="13.016"/>
    <s v="수리비용"/>
    <s v="-"/>
    <s v="-"/>
    <s v="-"/>
    <n v="1"/>
    <s v="-"/>
    <n v="23360"/>
    <n v="27"/>
    <m/>
    <n v="1"/>
    <n v="0.94499999999999995"/>
    <n v="22075.199999999997"/>
    <n v="0"/>
    <n v="0"/>
    <s v="-"/>
    <n v="2524"/>
    <n v="15849"/>
    <n v="22425"/>
    <n v="1.0158458360513156"/>
    <m/>
    <m/>
    <s v="ㅇ"/>
    <s v="인버터"/>
    <n v="1"/>
    <n v="1"/>
    <m/>
    <s v="ㅇ"/>
    <s v="ㅇ"/>
  </r>
  <r>
    <n v="193"/>
    <x v="192"/>
    <n v="118"/>
    <x v="3"/>
    <n v="6"/>
    <x v="44"/>
    <x v="192"/>
    <s v="강남구 봉은사로 332"/>
    <s v="윌링스"/>
    <n v="21.33"/>
    <n v="45"/>
    <n v="2.109704641350211"/>
    <n v="0.29383072999306559"/>
    <m/>
    <n v="3"/>
    <n v="28.12939521800282"/>
    <n v="11.948064"/>
    <s v="안전관리"/>
    <n v="0.6"/>
    <n v="0.6"/>
    <n v="0.6"/>
    <n v="0.6"/>
    <n v="0.6"/>
    <n v="24913.439999999999"/>
    <m/>
    <m/>
    <n v="1"/>
    <n v="0.94499999999999995"/>
    <n v="23543.200799999999"/>
    <n v="22945"/>
    <n v="22114"/>
    <n v="22064"/>
    <n v="21750"/>
    <n v="10875"/>
    <n v="21635"/>
    <n v="0.91894896466244302"/>
    <m/>
    <m/>
    <s v="x"/>
    <m/>
    <m/>
    <m/>
    <m/>
    <s v="ㅇ"/>
    <s v="ㅇ"/>
  </r>
  <r>
    <n v="194"/>
    <x v="193"/>
    <n v="146"/>
    <x v="3"/>
    <n v="7"/>
    <x v="44"/>
    <x v="193"/>
    <s v="강남구 대치동 3-3"/>
    <s v="비제이파워"/>
    <n v="3"/>
    <n v="7"/>
    <n v="2.3333333333333335"/>
    <n v="0.3249767873723306"/>
    <m/>
    <n v="4.92"/>
    <n v="327.99999999999994"/>
    <n v="-2.8175999999999997"/>
    <s v="안전관리"/>
    <n v="0.48"/>
    <n v="0.48"/>
    <n v="3"/>
    <n v="0.48"/>
    <n v="0.48"/>
    <n v="3504.0000000000005"/>
    <m/>
    <m/>
    <n v="1"/>
    <n v="0.94499999999999995"/>
    <n v="3311.28"/>
    <n v="3239"/>
    <n v="3351"/>
    <n v="3288"/>
    <n v="3142"/>
    <n v="1550"/>
    <n v="3178"/>
    <n v="0.95974970404194138"/>
    <m/>
    <m/>
    <s v="ㅇ"/>
    <s v="인버터"/>
    <n v="3"/>
    <n v="1"/>
    <m/>
    <s v="ㅇ"/>
    <s v="ㅇ"/>
  </r>
  <r>
    <n v="195"/>
    <x v="194"/>
    <n v="120"/>
    <x v="3"/>
    <n v="12"/>
    <x v="44"/>
    <x v="194"/>
    <s v="강남구 언주로70길 18"/>
    <s v="케이디파워"/>
    <n v="3"/>
    <n v="7"/>
    <n v="2.3333333333333335"/>
    <n v="0.3249767873723306"/>
    <m/>
    <n v="2.4"/>
    <n v="159.99999999999997"/>
    <n v="-0.29759999999999964"/>
    <s v="안전관리"/>
    <n v="0.48"/>
    <n v="0.48"/>
    <n v="0.48"/>
    <n v="0.48"/>
    <n v="0.48"/>
    <n v="3504.0000000000005"/>
    <m/>
    <m/>
    <n v="1"/>
    <n v="0.94499999999999995"/>
    <n v="3311.28"/>
    <n v="3278"/>
    <n v="3245"/>
    <n v="3441"/>
    <n v="3432"/>
    <n v="1710"/>
    <n v="3410"/>
    <n v="1.0298132444251165"/>
    <m/>
    <m/>
    <s v="x"/>
    <m/>
    <m/>
    <m/>
    <m/>
    <s v="ㅇ"/>
    <s v="ㅇ"/>
  </r>
  <r>
    <n v="197"/>
    <x v="195"/>
    <n v="170"/>
    <x v="3"/>
    <n v="6"/>
    <x v="45"/>
    <x v="195"/>
    <s v="송파구 거마로2길 19"/>
    <s v="LS산전㈜"/>
    <n v="3"/>
    <n v="18"/>
    <n v="6"/>
    <n v="0.83565459610027859"/>
    <m/>
    <n v="0"/>
    <n v="0"/>
    <n v="2.1024000000000003"/>
    <m/>
    <s v="-"/>
    <s v="-"/>
    <s v="-"/>
    <s v="-"/>
    <s v="-"/>
    <n v="3504.0000000000005"/>
    <m/>
    <m/>
    <n v="1"/>
    <n v="0.94499999999999995"/>
    <n v="3311.28"/>
    <s v="-"/>
    <s v="-"/>
    <n v="3030"/>
    <n v="3189"/>
    <s v="(누적)30480"/>
    <n v="3214"/>
    <n v="0.97062163272208923"/>
    <m/>
    <m/>
    <s v="x"/>
    <m/>
    <m/>
    <m/>
    <m/>
    <s v="ㅇ"/>
    <s v="ㅇ"/>
  </r>
  <r>
    <n v="196"/>
    <x v="196"/>
    <n v="160"/>
    <x v="3"/>
    <n v="9"/>
    <x v="45"/>
    <x v="196"/>
    <s v="송파구 중대로 235"/>
    <s v="LS산전㈜"/>
    <n v="40.5"/>
    <n v="316"/>
    <n v="7.8024691358024691"/>
    <n v="1.0866948657106503"/>
    <m/>
    <n v="0"/>
    <n v="0"/>
    <n v="28.382400000000001"/>
    <m/>
    <s v="-"/>
    <s v="-"/>
    <s v="-"/>
    <s v="-"/>
    <s v="-"/>
    <n v="47304"/>
    <m/>
    <m/>
    <n v="1"/>
    <n v="0.94499999999999995"/>
    <n v="44702.28"/>
    <n v="0"/>
    <n v="0"/>
    <n v="48969.599999999999"/>
    <n v="46000"/>
    <s v="(누적)482,827"/>
    <n v="41221"/>
    <n v="0.92212298791023639"/>
    <m/>
    <m/>
    <s v="x"/>
    <m/>
    <m/>
    <m/>
    <m/>
    <s v="ㅇ"/>
    <s v="ㅇ"/>
  </r>
  <r>
    <n v="199"/>
    <x v="197"/>
    <n v="180"/>
    <x v="3"/>
    <n v="4"/>
    <x v="46"/>
    <x v="197"/>
    <s v="아리수로93길 9-14"/>
    <s v="㈜다쓰테크"/>
    <n v="20"/>
    <n v="120"/>
    <n v="6"/>
    <n v="0.83565459610027859"/>
    <m/>
    <n v="0"/>
    <n v="0"/>
    <n v="14.016"/>
    <m/>
    <s v="-"/>
    <s v="-"/>
    <s v="-"/>
    <s v="-"/>
    <s v="-"/>
    <n v="23360"/>
    <m/>
    <m/>
    <n v="1"/>
    <n v="0.94499999999999995"/>
    <n v="22075.199999999997"/>
    <n v="21161"/>
    <n v="21161"/>
    <n v="21161"/>
    <n v="21161"/>
    <n v="12544"/>
    <n v="23360"/>
    <n v="1.0582010582010584"/>
    <m/>
    <m/>
    <s v="x"/>
    <m/>
    <m/>
    <m/>
    <m/>
    <s v="ㅇ"/>
    <s v="ㅇ"/>
  </r>
  <r>
    <n v="200"/>
    <x v="198"/>
    <n v="176"/>
    <x v="3"/>
    <n v="8"/>
    <x v="46"/>
    <x v="198"/>
    <s v="강동구 천호동 76-2"/>
    <s v="헥스파워시스템㈜"/>
    <n v="9.6"/>
    <n v="67"/>
    <n v="6.979166666666667"/>
    <n v="0.97202878365831025"/>
    <m/>
    <n v="0"/>
    <n v="0"/>
    <n v="6.7276800000000003"/>
    <m/>
    <s v="-"/>
    <s v="-"/>
    <s v="-"/>
    <s v="-"/>
    <s v="-"/>
    <n v="11212.8"/>
    <m/>
    <m/>
    <n v="1"/>
    <n v="0.94499999999999995"/>
    <n v="10596.096"/>
    <n v="9491"/>
    <n v="17039"/>
    <n v="11564"/>
    <n v="10934"/>
    <n v="6463"/>
    <n v="10619"/>
    <n v="1.0021615508202266"/>
    <m/>
    <m/>
    <s v="x"/>
    <m/>
    <m/>
    <m/>
    <m/>
    <s v="ㅇ"/>
    <s v="ㅇ"/>
  </r>
  <r>
    <n v="202"/>
    <x v="199"/>
    <n v="144"/>
    <x v="3"/>
    <n v="9"/>
    <x v="46"/>
    <x v="199"/>
    <s v="강동구 동남로 870"/>
    <s v="에스피브이㈜"/>
    <n v="45"/>
    <n v="389"/>
    <n v="8.6444444444444439"/>
    <n v="1.2039616217889197"/>
    <s v="구조물"/>
    <n v="4.4000000000000004"/>
    <n v="19.555555555555554"/>
    <n v="27.136000000000003"/>
    <s v="수리비용"/>
    <s v="-"/>
    <s v="-"/>
    <n v="4.4000000000000004"/>
    <s v="-"/>
    <s v="-"/>
    <n v="52560"/>
    <m/>
    <m/>
    <n v="1"/>
    <n v="0.94499999999999995"/>
    <n v="49669.2"/>
    <n v="38263"/>
    <n v="1833"/>
    <n v="52560"/>
    <n v="52560"/>
    <n v="38133"/>
    <n v="54662"/>
    <n v="1.1005210472485967"/>
    <m/>
    <m/>
    <s v="ㅇ"/>
    <s v="인버터, 접속반"/>
    <n v="4.4000000000000004"/>
    <n v="2"/>
    <m/>
    <s v="ㅇ"/>
    <s v="ㅇ"/>
  </r>
  <r>
    <n v="198"/>
    <x v="200"/>
    <n v="195"/>
    <x v="3"/>
    <n v="9"/>
    <x v="46"/>
    <x v="200"/>
    <s v="강동구 암사1동 452-20"/>
    <s v="이엔에이치주식회사"/>
    <n v="5"/>
    <n v="34"/>
    <n v="6.8"/>
    <n v="0.94707520891364905"/>
    <m/>
    <n v="0"/>
    <n v="0"/>
    <n v="3.504"/>
    <m/>
    <s v="-"/>
    <s v="-"/>
    <s v="-"/>
    <s v="-"/>
    <s v="-"/>
    <n v="5840"/>
    <m/>
    <m/>
    <n v="1"/>
    <n v="0.94499999999999995"/>
    <n v="5518.7999999999993"/>
    <n v="0"/>
    <n v="5999"/>
    <n v="5840"/>
    <n v="5840"/>
    <n v="3650"/>
    <n v="6177"/>
    <n v="1.1192650576212222"/>
    <m/>
    <m/>
    <s v="x"/>
    <m/>
    <m/>
    <m/>
    <m/>
    <s v="ㅇ"/>
    <s v="ㅇ"/>
  </r>
  <r>
    <n v="201"/>
    <x v="201"/>
    <n v="179"/>
    <x v="3"/>
    <n v="9"/>
    <x v="46"/>
    <x v="201"/>
    <s v="강동구 동남로 660"/>
    <s v="윌링스"/>
    <n v="13"/>
    <n v="100"/>
    <n v="7.6923076923076925"/>
    <n v="1.0713520462824084"/>
    <m/>
    <n v="0"/>
    <n v="0"/>
    <n v="9.1104000000000003"/>
    <m/>
    <s v="-"/>
    <s v="-"/>
    <s v="-"/>
    <s v="-"/>
    <s v="-"/>
    <n v="15184"/>
    <m/>
    <m/>
    <n v="1"/>
    <n v="0.94499999999999995"/>
    <n v="14348.88"/>
    <n v="0"/>
    <s v="-"/>
    <n v="8700"/>
    <n v="8700"/>
    <n v="8191"/>
    <n v="15184"/>
    <n v="1.0582010582010584"/>
    <m/>
    <m/>
    <s v="x"/>
    <m/>
    <m/>
    <m/>
    <m/>
    <s v="ㅇ"/>
    <s v="ㅇ"/>
  </r>
  <r>
    <n v="204"/>
    <x v="202"/>
    <n v="206"/>
    <x v="4"/>
    <n v="10"/>
    <x v="21"/>
    <x v="202"/>
    <s v="성동구 가람길 117"/>
    <s v="㈜삼광산전"/>
    <n v="40"/>
    <n v="249"/>
    <n v="6.2249999999999996"/>
    <n v="0.86699164345403901"/>
    <m/>
    <n v="0"/>
    <n v="0"/>
    <n v="28.032"/>
    <m/>
    <s v="-"/>
    <s v="-"/>
    <s v="-"/>
    <s v="-"/>
    <s v="-"/>
    <n v="46720"/>
    <m/>
    <m/>
    <n v="1"/>
    <n v="0.95"/>
    <n v="44384"/>
    <n v="52661"/>
    <n v="55445"/>
    <n v="50837"/>
    <n v="51036"/>
    <n v="32220"/>
    <n v="52324"/>
    <n v="1.1788932948810382"/>
    <m/>
    <m/>
    <s v="ㅇ"/>
    <s v="케이블"/>
    <n v="6"/>
    <n v="2"/>
    <m/>
    <s v="ㅇ"/>
    <s v="ㅇ"/>
  </r>
  <r>
    <n v="203"/>
    <x v="203"/>
    <n v="219"/>
    <x v="4"/>
    <n v="10"/>
    <x v="21"/>
    <x v="203"/>
    <s v="노원구 상계동 772"/>
    <s v="㈜삼광산전"/>
    <n v="25"/>
    <n v="167"/>
    <n v="6.68"/>
    <n v="0.93036211699164351"/>
    <m/>
    <n v="5.7"/>
    <n v="45.6"/>
    <n v="11.82"/>
    <s v="수리비용"/>
    <s v="-"/>
    <n v="5.7"/>
    <s v="-"/>
    <s v="-"/>
    <s v="-"/>
    <n v="29200"/>
    <n v="30"/>
    <n v="0"/>
    <n v="0.999"/>
    <n v="0.95"/>
    <n v="27712.26"/>
    <n v="26704"/>
    <n v="25107"/>
    <n v="30883"/>
    <n v="30883"/>
    <n v="18755"/>
    <n v="30007"/>
    <n v="1.0828059494245508"/>
    <m/>
    <m/>
    <s v="ㅇ"/>
    <s v="케이블"/>
    <n v="5.7"/>
    <n v="47"/>
    <m/>
    <s v="ㅇ"/>
    <s v="ㅇ"/>
  </r>
  <r>
    <n v="205"/>
    <x v="204"/>
    <n v="207"/>
    <x v="4"/>
    <n v="9"/>
    <x v="23"/>
    <x v="204"/>
    <s v="광진구 구천면로 2"/>
    <s v="삼광산전"/>
    <n v="15"/>
    <n v="107"/>
    <n v="7.1333333333333337"/>
    <n v="0.99350046425255345"/>
    <m/>
    <n v="0.1"/>
    <n v="1.3333333333333335"/>
    <n v="10.412000000000001"/>
    <m/>
    <s v="-"/>
    <s v="-"/>
    <s v="-"/>
    <n v="0.1"/>
    <s v="-"/>
    <n v="17520"/>
    <n v="25"/>
    <n v="0"/>
    <n v="1"/>
    <n v="0.95"/>
    <n v="16644"/>
    <n v="18069"/>
    <n v="8944"/>
    <n v="7826"/>
    <n v="8696"/>
    <n v="14574"/>
    <n v="27313"/>
    <n v="1.6410117760153808"/>
    <m/>
    <m/>
    <s v="ㅇ"/>
    <s v="인버터"/>
    <n v="6.3"/>
    <n v="16"/>
    <m/>
    <s v="ㅇ"/>
    <s v="ㅇ"/>
  </r>
  <r>
    <n v="206"/>
    <x v="205"/>
    <n v="232"/>
    <x v="4"/>
    <n v="1"/>
    <x v="50"/>
    <x v="205"/>
    <s v="동대문구 서울시립대로 163"/>
    <s v="㈜케이디파워"/>
    <n v="22"/>
    <n v="88"/>
    <n v="4"/>
    <n v="0.55710306406685239"/>
    <m/>
    <n v="0"/>
    <n v="0"/>
    <n v="15.417600000000002"/>
    <m/>
    <s v="-"/>
    <s v="-"/>
    <s v="-"/>
    <s v="-"/>
    <s v="-"/>
    <n v="25696.000000000004"/>
    <m/>
    <m/>
    <n v="1"/>
    <n v="0.95"/>
    <n v="24411.200000000001"/>
    <n v="28366"/>
    <n v="26927"/>
    <n v="27366"/>
    <n v="29031"/>
    <n v="16050"/>
    <n v="24878"/>
    <n v="1.0191223700596448"/>
    <m/>
    <m/>
    <s v="x"/>
    <m/>
    <m/>
    <m/>
    <m/>
    <s v="ㅇ"/>
    <s v="ㅇ"/>
  </r>
  <r>
    <n v="207"/>
    <x v="206"/>
    <n v="216"/>
    <x v="4"/>
    <n v="6"/>
    <x v="24"/>
    <x v="206"/>
    <s v="경기도 과천시 장군마을 3길30"/>
    <s v="㈜한성이에스"/>
    <n v="75.599999999999994"/>
    <n v="429.6"/>
    <n v="5.6825396825396837"/>
    <n v="0.79144006720608406"/>
    <m/>
    <n v="2"/>
    <n v="5.2910052910052912"/>
    <n v="50.980479999999993"/>
    <s v="수리비용"/>
    <s v="-"/>
    <s v="-"/>
    <s v="-"/>
    <s v="-"/>
    <n v="2"/>
    <n v="88300.799999999988"/>
    <n v="30"/>
    <n v="50"/>
    <n v="0.94699999999999995"/>
    <n v="0.95"/>
    <n v="79439.81471999998"/>
    <n v="92359"/>
    <n v="98003"/>
    <n v="75039"/>
    <n v="95239"/>
    <n v="59329"/>
    <n v="87047"/>
    <n v="1.0957603603031165"/>
    <m/>
    <m/>
    <s v="ㅇ"/>
    <s v="인버터"/>
    <n v="2"/>
    <n v="30"/>
    <m/>
    <s v="ㅇ"/>
    <s v="ㅇ"/>
  </r>
  <r>
    <n v="208"/>
    <x v="207"/>
    <n v="239"/>
    <x v="4"/>
    <n v="12"/>
    <x v="11"/>
    <x v="207"/>
    <s v="성동구 송정동 73"/>
    <s v="GS건설"/>
    <n v="200"/>
    <n v="1649"/>
    <n v="8.2449999999999992"/>
    <n v="1.1483286908077994"/>
    <m/>
    <n v="0"/>
    <n v="0"/>
    <n v="140.16"/>
    <m/>
    <s v="-"/>
    <s v="-"/>
    <s v="-"/>
    <s v="-"/>
    <s v="-"/>
    <n v="233600"/>
    <m/>
    <m/>
    <n v="1"/>
    <n v="0.95"/>
    <n v="221920"/>
    <n v="216810"/>
    <n v="215313"/>
    <n v="218282"/>
    <n v="262148"/>
    <n v="139309"/>
    <n v="240087"/>
    <n v="1.0818628334534968"/>
    <m/>
    <m/>
    <s v="x"/>
    <m/>
    <m/>
    <m/>
    <m/>
    <s v="ㅇ"/>
    <s v="ㅇ"/>
  </r>
  <r>
    <n v="209"/>
    <x v="208"/>
    <n v="214"/>
    <x v="4"/>
    <n v="6"/>
    <x v="57"/>
    <x v="208"/>
    <s v="성동구 자동차시장길 41"/>
    <s v="㈜신우테크"/>
    <n v="50"/>
    <n v="346"/>
    <n v="6.92"/>
    <n v="0.96378830083565459"/>
    <m/>
    <n v="1.5"/>
    <n v="6"/>
    <n v="33.54"/>
    <s v="수리비용"/>
    <s v="-"/>
    <s v="-"/>
    <s v="-"/>
    <n v="1.5"/>
    <s v="-"/>
    <n v="58400"/>
    <m/>
    <m/>
    <n v="1"/>
    <n v="0.95"/>
    <n v="55480"/>
    <n v="49810"/>
    <n v="45558"/>
    <n v="43863"/>
    <n v="34140"/>
    <n v="25087"/>
    <n v="35584"/>
    <n v="0.6413842826243692"/>
    <s v="주변환경 변화에 따른 음영"/>
    <s v="새활용플라자 건물(2017년 준공, 성동도로사업소 남향에 바로 위치)로 인한 음영발생"/>
    <s v="ㅇ"/>
    <s v="인버터"/>
    <n v="1.5"/>
    <n v="1"/>
    <m/>
    <s v="ㅇ"/>
    <s v="ㅇ"/>
  </r>
  <r>
    <n v="210"/>
    <x v="209"/>
    <n v="218"/>
    <x v="4"/>
    <n v="12"/>
    <x v="5"/>
    <x v="209"/>
    <s v="서울 구로구 오류동 173-7"/>
    <s v="아이파워"/>
    <n v="2.4"/>
    <n v="11"/>
    <n v="4.5833333333333339"/>
    <n v="0.6383472609099351"/>
    <m/>
    <n v="0.20760000000000001"/>
    <n v="17.300000000000004"/>
    <n v="1.4743200000000001"/>
    <m/>
    <n v="1.4E-2"/>
    <s v="-"/>
    <s v="-"/>
    <n v="0.19359999999999999"/>
    <s v="-"/>
    <n v="2803.2"/>
    <m/>
    <m/>
    <n v="1"/>
    <n v="0.95"/>
    <n v="2663.0399999999995"/>
    <n v="2206"/>
    <n v="2102"/>
    <n v="2880"/>
    <n v="2510"/>
    <n v="1789"/>
    <n v="2503.1999999999998"/>
    <n v="0.93997837058399436"/>
    <m/>
    <s v="19.6월 모티너링 고장으로 A/S"/>
    <s v="x"/>
    <m/>
    <m/>
    <m/>
    <m/>
    <s v="ㅇ"/>
    <s v="ㅇ"/>
  </r>
  <r>
    <n v="212"/>
    <x v="210"/>
    <n v="233"/>
    <x v="4"/>
    <n v="10"/>
    <x v="6"/>
    <x v="210"/>
    <s v="양천구 신정7동 33702"/>
    <s v="동림전력㈜"/>
    <n v="50"/>
    <n v="223"/>
    <n v="4.46"/>
    <n v="0.62116991643454045"/>
    <m/>
    <n v="0"/>
    <n v="0"/>
    <n v="35.04"/>
    <m/>
    <s v="-"/>
    <s v="-"/>
    <s v="-"/>
    <s v="-"/>
    <s v="-"/>
    <n v="58400"/>
    <m/>
    <m/>
    <n v="1"/>
    <n v="0.95"/>
    <n v="55480"/>
    <n v="0"/>
    <n v="0"/>
    <m/>
    <m/>
    <s v="(누적)501,518"/>
    <n v="56808"/>
    <n v="1.0239365537130498"/>
    <m/>
    <m/>
    <s v="x"/>
    <m/>
    <m/>
    <m/>
    <m/>
    <s v="ㅇ"/>
    <s v="ㅇ"/>
  </r>
  <r>
    <n v="213"/>
    <x v="211"/>
    <n v="242"/>
    <x v="4"/>
    <n v="10"/>
    <x v="6"/>
    <x v="211"/>
    <s v="성동구 행당2동 347"/>
    <s v="동림전력㈜"/>
    <n v="40"/>
    <n v="183"/>
    <n v="4.5750000000000002"/>
    <n v="0.63718662952646243"/>
    <m/>
    <n v="0"/>
    <n v="0"/>
    <n v="28.032"/>
    <m/>
    <s v="-"/>
    <s v="-"/>
    <s v="-"/>
    <s v="-"/>
    <s v="-"/>
    <n v="46720"/>
    <m/>
    <m/>
    <n v="1"/>
    <n v="0.95"/>
    <n v="44384"/>
    <n v="50918"/>
    <n v="56955"/>
    <n v="51743"/>
    <n v="50655"/>
    <n v="34801"/>
    <n v="51924"/>
    <n v="1.1698810382119682"/>
    <m/>
    <m/>
    <s v="x"/>
    <m/>
    <m/>
    <m/>
    <m/>
    <s v="ㅇ"/>
    <s v="ㅇ"/>
  </r>
  <r>
    <n v="214"/>
    <x v="212"/>
    <n v="241"/>
    <x v="4"/>
    <n v="10"/>
    <x v="6"/>
    <x v="212"/>
    <s v="성동구 행당2동 346-1"/>
    <s v="동림전력㈜"/>
    <n v="50"/>
    <n v="222"/>
    <n v="4.4400000000000004"/>
    <n v="0.61838440111420623"/>
    <m/>
    <n v="0"/>
    <n v="0"/>
    <n v="35.04"/>
    <m/>
    <s v="-"/>
    <s v="-"/>
    <s v="-"/>
    <s v="-"/>
    <s v="-"/>
    <n v="58400"/>
    <m/>
    <m/>
    <n v="1"/>
    <n v="0.95"/>
    <n v="55480"/>
    <n v="39738"/>
    <n v="59617"/>
    <n v="69719"/>
    <n v="60648"/>
    <n v="36601"/>
    <n v="64416"/>
    <n v="1.1610670511896179"/>
    <m/>
    <m/>
    <s v="x"/>
    <m/>
    <m/>
    <m/>
    <m/>
    <s v="ㅇ"/>
    <s v="ㅇ"/>
  </r>
  <r>
    <n v="211"/>
    <x v="213"/>
    <n v="230"/>
    <x v="4"/>
    <n v="11"/>
    <x v="6"/>
    <x v="213"/>
    <s v="성북구 길음1동 1280-3"/>
    <s v="㈜엘지하우시스"/>
    <n v="40"/>
    <n v="147"/>
    <n v="3.6749999999999998"/>
    <n v="0.51183844011142066"/>
    <m/>
    <n v="0"/>
    <n v="0"/>
    <n v="28.032"/>
    <m/>
    <s v="-"/>
    <s v="-"/>
    <s v="-"/>
    <s v="-"/>
    <s v="-"/>
    <n v="46720"/>
    <m/>
    <m/>
    <n v="1"/>
    <n v="0.95"/>
    <n v="44384"/>
    <n v="49909"/>
    <n v="53915"/>
    <n v="52381"/>
    <n v="45083"/>
    <n v="26313"/>
    <n v="43876"/>
    <n v="0.9885544340302812"/>
    <m/>
    <m/>
    <s v="x"/>
    <m/>
    <m/>
    <m/>
    <m/>
    <s v="ㅇ"/>
    <s v="ㅇ"/>
  </r>
  <r>
    <n v="215"/>
    <x v="214"/>
    <n v="212"/>
    <x v="4"/>
    <n v="1"/>
    <x v="58"/>
    <x v="214"/>
    <s v="중랑구 신내로 156"/>
    <s v="삼광산전"/>
    <n v="110"/>
    <n v="753"/>
    <n v="6.8454545454545457"/>
    <n v="0.95340592555077242"/>
    <m/>
    <n v="0.9"/>
    <n v="1.6363636363636365"/>
    <n v="76.187999999999988"/>
    <s v="수리비용"/>
    <s v="-"/>
    <s v="-"/>
    <s v="-"/>
    <n v="0.9"/>
    <s v="-"/>
    <n v="128480"/>
    <n v="30"/>
    <n v="0"/>
    <n v="0.999"/>
    <n v="0.95"/>
    <n v="121933.94399999999"/>
    <n v="148450"/>
    <n v="153623"/>
    <n v="151311"/>
    <n v="142737"/>
    <n v="88279"/>
    <n v="140890"/>
    <n v="1.1554616817774714"/>
    <m/>
    <s v="-"/>
    <s v="ㅇ"/>
    <s v="기타"/>
    <n v="0.9"/>
    <n v="1"/>
    <m/>
    <s v="ㅇ"/>
    <s v="ㅇ"/>
  </r>
  <r>
    <n v="216"/>
    <x v="215"/>
    <n v="215"/>
    <x v="4"/>
    <n v="2"/>
    <x v="33"/>
    <x v="215"/>
    <s v="종로구 혜화동 74-30"/>
    <s v="㈜케이디티"/>
    <n v="4.4000000000000004"/>
    <n v="31"/>
    <n v="7.045454545454545"/>
    <n v="0.98126107875411495"/>
    <m/>
    <n v="2"/>
    <n v="90.909090909090907"/>
    <n v="1.0835200000000005"/>
    <s v="수리비용"/>
    <s v="-"/>
    <s v="-"/>
    <s v="-"/>
    <n v="2"/>
    <s v="-"/>
    <n v="5139.2000000000007"/>
    <m/>
    <m/>
    <n v="1"/>
    <n v="0.95"/>
    <n v="4882.2400000000007"/>
    <n v="5536"/>
    <n v="5048"/>
    <n v="4560"/>
    <n v="4316"/>
    <n v="2517"/>
    <n v="4671"/>
    <n v="0.95673297502785593"/>
    <m/>
    <m/>
    <s v="ㅇ"/>
    <s v="인버터"/>
    <n v="2"/>
    <n v="2"/>
    <m/>
    <s v="ㅇ"/>
    <s v="ㅇ"/>
  </r>
  <r>
    <n v="217"/>
    <x v="216"/>
    <n v="235"/>
    <x v="4"/>
    <n v="12"/>
    <x v="13"/>
    <x v="216"/>
    <s v="광진구 구의3동 587-29"/>
    <s v="LS산전㈜"/>
    <n v="13"/>
    <n v="74"/>
    <n v="5.6923076923076925"/>
    <n v="0.79280051424898224"/>
    <m/>
    <n v="0"/>
    <n v="0"/>
    <n v="9.1104000000000003"/>
    <m/>
    <s v="-"/>
    <s v="-"/>
    <s v="-"/>
    <s v="-"/>
    <s v="-"/>
    <n v="15184"/>
    <m/>
    <m/>
    <n v="1"/>
    <n v="0.95"/>
    <n v="14424.8"/>
    <n v="2147"/>
    <n v="16387"/>
    <n v="15130"/>
    <n v="15504"/>
    <n v="8331"/>
    <n v="15288"/>
    <n v="1.0598413842826244"/>
    <m/>
    <m/>
    <s v="x"/>
    <m/>
    <m/>
    <m/>
    <m/>
    <s v="ㅇ"/>
    <s v="ㅇ"/>
  </r>
  <r>
    <n v="218"/>
    <x v="217"/>
    <n v="227"/>
    <x v="4"/>
    <n v="12"/>
    <x v="13"/>
    <x v="217"/>
    <s v="광진구 중곡2동 125-11"/>
    <s v="LS산전㈜"/>
    <n v="6"/>
    <n v="32"/>
    <n v="5.333333333333333"/>
    <n v="0.74280408542246978"/>
    <m/>
    <n v="0"/>
    <n v="0"/>
    <n v="4.2048000000000005"/>
    <m/>
    <s v="-"/>
    <s v="-"/>
    <s v="-"/>
    <s v="-"/>
    <s v="-"/>
    <n v="7008.0000000000009"/>
    <m/>
    <m/>
    <n v="1"/>
    <n v="0.95"/>
    <n v="6657.6"/>
    <n v="0"/>
    <s v="-"/>
    <s v="-"/>
    <n v="6000"/>
    <s v="(누적) 59,862"/>
    <n v="6280"/>
    <n v="0.94328286469598654"/>
    <m/>
    <m/>
    <s v="x"/>
    <m/>
    <m/>
    <m/>
    <m/>
    <s v="ㅇ"/>
    <s v="ㅇ"/>
  </r>
  <r>
    <n v="219"/>
    <x v="218"/>
    <n v="238"/>
    <x v="4"/>
    <n v="12"/>
    <x v="35"/>
    <x v="218"/>
    <s v="동대문구 회기로10길 60 (청량리동 206-19)"/>
    <s v="이앤에이치㈜"/>
    <n v="10"/>
    <n v="71"/>
    <n v="7.1"/>
    <n v="0.9888579387186629"/>
    <m/>
    <n v="0"/>
    <n v="0"/>
    <n v="7.008"/>
    <m/>
    <s v="-"/>
    <s v="-"/>
    <s v="-"/>
    <s v="-"/>
    <s v="-"/>
    <n v="11680"/>
    <n v="10"/>
    <n v="10"/>
    <n v="0.94099999999999995"/>
    <n v="0.95"/>
    <n v="10441.335999999999"/>
    <n v="12642"/>
    <n v="13012"/>
    <n v="13038"/>
    <n v="12382"/>
    <n v="6505"/>
    <n v="11261"/>
    <n v="1.0785018315663819"/>
    <m/>
    <m/>
    <s v="x"/>
    <m/>
    <m/>
    <m/>
    <m/>
    <s v="ㅇ"/>
    <s v="ㅇ"/>
  </r>
  <r>
    <n v="220"/>
    <x v="219"/>
    <n v="234"/>
    <x v="4"/>
    <n v="12"/>
    <x v="37"/>
    <x v="219"/>
    <s v="강북구 인수봉로66길 9"/>
    <s v="㈜케이디파워"/>
    <n v="18.2"/>
    <n v="161"/>
    <n v="8.8461538461538467"/>
    <n v="1.2320548532247697"/>
    <s v="구조물"/>
    <n v="0"/>
    <n v="0"/>
    <n v="12.754560000000001"/>
    <m/>
    <s v="-"/>
    <s v="-"/>
    <s v="-"/>
    <s v="-"/>
    <s v="-"/>
    <n v="21257.600000000002"/>
    <m/>
    <m/>
    <n v="1"/>
    <n v="0.95"/>
    <n v="20194.72"/>
    <s v="-"/>
    <s v="-"/>
    <n v="18000"/>
    <n v="22000"/>
    <n v="13774"/>
    <n v="21120"/>
    <n v="1.0458179167624011"/>
    <m/>
    <m/>
    <s v="x"/>
    <m/>
    <m/>
    <m/>
    <m/>
    <s v="ㅇ"/>
    <s v="ㅇ"/>
  </r>
  <r>
    <n v="221"/>
    <x v="220"/>
    <n v="210"/>
    <x v="4"/>
    <n v="3"/>
    <x v="38"/>
    <x v="220"/>
    <s v="노원구 노원로17길 56"/>
    <s v="신성홀딩스"/>
    <n v="10"/>
    <n v="86"/>
    <n v="8.6"/>
    <n v="1.1977715877437325"/>
    <s v="구조물"/>
    <n v="0.77"/>
    <n v="15.4"/>
    <n v="6.2379999999999995"/>
    <s v="수리비용"/>
    <s v="-"/>
    <s v="-"/>
    <n v="0.77"/>
    <s v="-"/>
    <s v="-"/>
    <n v="11680"/>
    <m/>
    <m/>
    <n v="1"/>
    <n v="0.95"/>
    <n v="11096"/>
    <n v="12444"/>
    <n v="13078"/>
    <n v="12942"/>
    <n v="12203"/>
    <n v="6811"/>
    <n v="12118"/>
    <n v="1.0921052631578947"/>
    <m/>
    <m/>
    <s v="ㅇ"/>
    <s v="모듈"/>
    <n v="0.77"/>
    <n v="1"/>
    <m/>
    <s v="ㅇ"/>
    <s v="ㅇ"/>
  </r>
  <r>
    <n v="223"/>
    <x v="221"/>
    <n v="240"/>
    <x v="4"/>
    <n v="4"/>
    <x v="38"/>
    <x v="221"/>
    <s v="노원구 월계동321-4"/>
    <s v="삼광산전"/>
    <n v="10"/>
    <n v="83"/>
    <n v="8.3000000000000007"/>
    <n v="1.1559888579387188"/>
    <s v="구조물"/>
    <n v="0"/>
    <n v="0"/>
    <n v="7.008"/>
    <m/>
    <s v="-"/>
    <s v="-"/>
    <s v="-"/>
    <s v="-"/>
    <s v="-"/>
    <n v="11680"/>
    <m/>
    <m/>
    <n v="1"/>
    <n v="0.95"/>
    <n v="11096"/>
    <n v="12182"/>
    <n v="12305"/>
    <n v="12939"/>
    <n v="12468"/>
    <n v="7118"/>
    <n v="12174"/>
    <n v="1.0971521268925739"/>
    <m/>
    <m/>
    <s v="x"/>
    <m/>
    <m/>
    <m/>
    <m/>
    <s v="ㅇ"/>
    <s v="ㅇ"/>
  </r>
  <r>
    <n v="224"/>
    <x v="222"/>
    <n v="231"/>
    <x v="4"/>
    <n v="7"/>
    <x v="38"/>
    <x v="222"/>
    <s v="노원구 하계동 273-2"/>
    <s v="LS산전"/>
    <n v="10.56"/>
    <n v="71"/>
    <n v="6.7234848484848477"/>
    <n v="0.93641850257449133"/>
    <m/>
    <n v="0"/>
    <n v="0"/>
    <n v="7.4004479999999999"/>
    <m/>
    <s v="-"/>
    <s v="-"/>
    <s v="-"/>
    <s v="-"/>
    <s v="-"/>
    <n v="12334.08"/>
    <m/>
    <m/>
    <n v="1"/>
    <n v="0.95"/>
    <n v="11717.376"/>
    <n v="7058"/>
    <n v="0"/>
    <s v="-"/>
    <n v="12120"/>
    <n v="6716"/>
    <n v="11698"/>
    <n v="0.99834638745056914"/>
    <m/>
    <m/>
    <s v="x"/>
    <m/>
    <m/>
    <m/>
    <m/>
    <s v="ㅇ"/>
    <s v="ㅇ"/>
  </r>
  <r>
    <n v="222"/>
    <x v="223"/>
    <n v="221"/>
    <x v="4"/>
    <n v="11"/>
    <x v="38"/>
    <x v="223"/>
    <s v="노원구 상계동 770-2"/>
    <s v="LS산전"/>
    <n v="11"/>
    <n v="72"/>
    <n v="6.5454545454545459"/>
    <n v="0.91162319574575856"/>
    <m/>
    <n v="0"/>
    <n v="0"/>
    <n v="7.708800000000001"/>
    <m/>
    <s v="-"/>
    <s v="-"/>
    <s v="-"/>
    <s v="-"/>
    <s v="-"/>
    <n v="12848.000000000002"/>
    <m/>
    <m/>
    <n v="1"/>
    <n v="0.95"/>
    <n v="12205.6"/>
    <n v="9537"/>
    <n v="9372"/>
    <n v="9726"/>
    <n v="9204"/>
    <n v="5431"/>
    <n v="10068"/>
    <n v="0.82486727403814641"/>
    <m/>
    <m/>
    <s v="x"/>
    <m/>
    <m/>
    <m/>
    <m/>
    <s v="ㅇ"/>
    <s v="ㅇ"/>
  </r>
  <r>
    <n v="226"/>
    <x v="224"/>
    <n v="208"/>
    <x v="4"/>
    <n v="7"/>
    <x v="39"/>
    <x v="224"/>
    <s v="은평구 백련산로14길 20-11"/>
    <s v="(주)케이디파워"/>
    <n v="9.75"/>
    <n v="70"/>
    <n v="7.1794871794871797"/>
    <n v="0.99992857653024791"/>
    <m/>
    <n v="0.33"/>
    <n v="6.7692307692307683"/>
    <n v="6.5028000000000006"/>
    <m/>
    <s v="-"/>
    <s v="-"/>
    <s v="-"/>
    <n v="0.16500000000000001"/>
    <n v="0.16500000000000001"/>
    <n v="11388.000000000002"/>
    <n v="24"/>
    <n v="0"/>
    <n v="0.99199999999999999"/>
    <n v="0.95"/>
    <n v="10732.0512"/>
    <n v="10352"/>
    <n v="10662"/>
    <n v="10384"/>
    <n v="11020"/>
    <s v="(누적)99520"/>
    <n v="9418"/>
    <n v="0.8775582434791217"/>
    <m/>
    <s v="코로나-19로 인한 장기간 휴관"/>
    <s v="ㅇ"/>
    <s v="모듈, 인버터"/>
    <n v="0.1"/>
    <n v="1"/>
    <m/>
    <s v="ㅇ"/>
    <s v="ㅇ"/>
  </r>
  <r>
    <n v="225"/>
    <x v="225"/>
    <n v="222"/>
    <x v="4"/>
    <n v="10"/>
    <x v="39"/>
    <x v="225"/>
    <s v="은평구 통일로89길 12-6"/>
    <s v="㈜케이디파워"/>
    <n v="10"/>
    <n v="93"/>
    <n v="9.3000000000000007"/>
    <n v="1.295264623955432"/>
    <s v="소용량"/>
    <n v="0"/>
    <n v="0"/>
    <n v="7.008"/>
    <m/>
    <s v="-"/>
    <s v="-"/>
    <s v="-"/>
    <s v="-"/>
    <s v="-"/>
    <n v="11680"/>
    <n v="20"/>
    <n v="0"/>
    <n v="0.98099999999999998"/>
    <n v="0.95"/>
    <n v="10885.175999999999"/>
    <n v="3389"/>
    <n v="1491"/>
    <n v="358"/>
    <n v="1000"/>
    <n v="3027"/>
    <n v="9392"/>
    <n v="0.8628248178991319"/>
    <m/>
    <m/>
    <s v="x"/>
    <m/>
    <m/>
    <m/>
    <m/>
    <s v="ㅇ"/>
    <s v="ㅇ"/>
  </r>
  <r>
    <n v="227"/>
    <x v="226"/>
    <n v="211"/>
    <x v="4"/>
    <n v="12"/>
    <x v="40"/>
    <x v="226"/>
    <s v="서대문구 홍은동 273-10"/>
    <s v="㈜아폴로테크"/>
    <n v="30"/>
    <n v="91"/>
    <n v="3.0333333333333332"/>
    <n v="0.42246982358402974"/>
    <m/>
    <n v="2.4"/>
    <n v="16"/>
    <n v="18.624000000000002"/>
    <m/>
    <s v="-"/>
    <n v="1.9"/>
    <n v="0.2"/>
    <s v="-"/>
    <n v="0.3"/>
    <n v="35040"/>
    <m/>
    <m/>
    <n v="1"/>
    <n v="0.95"/>
    <n v="33288"/>
    <n v="30426"/>
    <n v="30611.5"/>
    <n v="35230.9"/>
    <n v="25819"/>
    <s v="(누적)272500"/>
    <n v="31289"/>
    <n v="0.93994832972843068"/>
    <m/>
    <m/>
    <s v="x"/>
    <m/>
    <m/>
    <m/>
    <m/>
    <s v="ㅇ"/>
    <s v="ㅇ"/>
  </r>
  <r>
    <n v="228"/>
    <x v="227"/>
    <n v="225"/>
    <x v="4"/>
    <n v="10"/>
    <x v="15"/>
    <x v="227"/>
    <s v="마포구 신촌로26길 10"/>
    <s v="-"/>
    <n v="48.6"/>
    <n v="245"/>
    <n v="5.0411522633744852"/>
    <n v="0.70211034308836839"/>
    <m/>
    <n v="0"/>
    <n v="0"/>
    <n v="34.058880000000002"/>
    <m/>
    <s v="-"/>
    <s v="-"/>
    <s v="-"/>
    <s v="-"/>
    <s v="-"/>
    <n v="56764.800000000003"/>
    <m/>
    <m/>
    <n v="1"/>
    <n v="0.95"/>
    <n v="53926.559999999998"/>
    <n v="42067"/>
    <n v="60088"/>
    <n v="62647"/>
    <n v="59998"/>
    <n v="27388"/>
    <n v="49529"/>
    <n v="0.91845279951103875"/>
    <m/>
    <m/>
    <s v="x"/>
    <m/>
    <m/>
    <m/>
    <m/>
    <s v="ㅇ"/>
    <s v="ㅇ"/>
  </r>
  <r>
    <n v="230"/>
    <x v="228"/>
    <n v="237"/>
    <x v="4"/>
    <n v="9"/>
    <x v="41"/>
    <x v="228"/>
    <s v="금천구 독산로 317"/>
    <s v="㈜케이디파워"/>
    <n v="9.75"/>
    <n v="48"/>
    <n v="4.9230769230769234"/>
    <n v="0.68566530962074146"/>
    <m/>
    <n v="0"/>
    <n v="0"/>
    <n v="6.8328000000000007"/>
    <m/>
    <s v="-"/>
    <s v="-"/>
    <s v="-"/>
    <s v="-"/>
    <s v="-"/>
    <n v="11388.000000000002"/>
    <m/>
    <m/>
    <n v="1"/>
    <n v="0.95"/>
    <n v="10818.6"/>
    <n v="0"/>
    <n v="0"/>
    <s v="-"/>
    <s v="-"/>
    <n v="3063"/>
    <n v="11527"/>
    <n v="1.0654798217884014"/>
    <m/>
    <m/>
    <s v="x"/>
    <m/>
    <m/>
    <m/>
    <m/>
    <s v="ㅇ"/>
    <s v="ㅇ"/>
  </r>
  <r>
    <n v="229"/>
    <x v="229"/>
    <n v="205"/>
    <x v="4"/>
    <n v="12"/>
    <x v="41"/>
    <x v="229"/>
    <s v="금천구 시흥대로 73길 70"/>
    <s v="(주)이맥스시스템"/>
    <n v="10"/>
    <n v="92"/>
    <n v="9.1999999999999993"/>
    <n v="1.2813370473537604"/>
    <s v="소용량"/>
    <n v="0"/>
    <n v="0"/>
    <n v="7.008"/>
    <m/>
    <s v="-"/>
    <s v="-"/>
    <m/>
    <s v="-"/>
    <s v="-"/>
    <n v="11680"/>
    <m/>
    <m/>
    <n v="1"/>
    <n v="0.95"/>
    <n v="11096"/>
    <n v="11719"/>
    <n v="10953"/>
    <n v="9146"/>
    <n v="8810"/>
    <n v="5464"/>
    <n v="10101"/>
    <n v="0.9103280461427542"/>
    <m/>
    <m/>
    <s v="ㅇ"/>
    <s v="모니터링"/>
    <n v="3.9"/>
    <n v="2"/>
    <m/>
    <s v="ㅇ"/>
    <s v="ㅇ"/>
  </r>
  <r>
    <n v="231"/>
    <x v="230"/>
    <n v="213"/>
    <x v="4"/>
    <n v="12"/>
    <x v="17"/>
    <x v="230"/>
    <s v="영등포구 영등포로53길 22"/>
    <s v="텐코리아"/>
    <n v="10"/>
    <n v="42"/>
    <n v="4.2"/>
    <n v="0.58495821727019504"/>
    <m/>
    <n v="1"/>
    <n v="20"/>
    <n v="6.008"/>
    <s v="안전관리"/>
    <n v="0.1"/>
    <n v="0.1"/>
    <n v="0.3"/>
    <n v="0.2"/>
    <n v="0.3"/>
    <n v="11680"/>
    <n v="30.4"/>
    <n v="0"/>
    <n v="0.999"/>
    <n v="0.95"/>
    <n v="11084.903999999999"/>
    <n v="10842"/>
    <n v="11014"/>
    <n v="8394"/>
    <n v="11832"/>
    <n v="5500"/>
    <n v="11032"/>
    <n v="0.99522738311491032"/>
    <m/>
    <m/>
    <s v="ㅇ"/>
    <s v="인버터"/>
    <n v="0.2"/>
    <n v="1"/>
    <m/>
    <s v="ㅇ"/>
    <s v="ㅇ"/>
  </r>
  <r>
    <n v="233"/>
    <x v="231"/>
    <n v="224"/>
    <x v="4"/>
    <n v="5"/>
    <x v="18"/>
    <x v="231"/>
    <s v="관악구 난곡로 374"/>
    <s v="우진기전㈜"/>
    <n v="3"/>
    <n v="18"/>
    <n v="6"/>
    <n v="0.83565459610027859"/>
    <m/>
    <n v="0"/>
    <n v="0"/>
    <n v="2.1024000000000003"/>
    <m/>
    <s v="-"/>
    <s v="-"/>
    <s v="-"/>
    <s v="-"/>
    <s v="-"/>
    <n v="3504.0000000000005"/>
    <m/>
    <m/>
    <n v="1"/>
    <n v="0.95"/>
    <n v="3328.8"/>
    <s v="-"/>
    <s v="-"/>
    <s v="-"/>
    <n v="3211"/>
    <n v="1962"/>
    <n v="3055"/>
    <n v="0.91774813746695505"/>
    <m/>
    <m/>
    <s v="x"/>
    <m/>
    <m/>
    <m/>
    <m/>
    <s v="ㅇ"/>
    <s v="ㅇ"/>
  </r>
  <r>
    <n v="232"/>
    <x v="232"/>
    <n v="229"/>
    <x v="4"/>
    <n v="7"/>
    <x v="18"/>
    <x v="232"/>
    <s v="관악구 남부순환로246가길 17"/>
    <s v="우진기전㈜"/>
    <n v="10.176"/>
    <n v="68"/>
    <n v="6.682389937106918"/>
    <n v="0.93069497731294126"/>
    <m/>
    <n v="0"/>
    <n v="0"/>
    <n v="7.1313408000000011"/>
    <m/>
    <s v="-"/>
    <s v="-"/>
    <s v="-"/>
    <s v="-"/>
    <s v="-"/>
    <n v="11885.568000000001"/>
    <n v="25"/>
    <n v="0"/>
    <n v="0.99199999999999999"/>
    <n v="0.95"/>
    <n v="11200.9592832"/>
    <n v="10698"/>
    <n v="9769.1"/>
    <n v="12301"/>
    <n v="11554"/>
    <n v="7756"/>
    <n v="10954"/>
    <n v="0.97795195242157451"/>
    <m/>
    <m/>
    <s v="x"/>
    <m/>
    <m/>
    <m/>
    <m/>
    <s v="ㅇ"/>
    <s v="ㅇ"/>
  </r>
  <r>
    <n v="234"/>
    <x v="233"/>
    <n v="228"/>
    <x v="4"/>
    <n v="8"/>
    <x v="18"/>
    <x v="233"/>
    <s v="관악구 남부순환로 246가길 20"/>
    <s v="우진기전㈜"/>
    <n v="10.176"/>
    <n v="62"/>
    <n v="6.0927672955974845"/>
    <n v="0.84857483225591712"/>
    <m/>
    <n v="0"/>
    <n v="0"/>
    <n v="7.1313408000000011"/>
    <m/>
    <m/>
    <m/>
    <m/>
    <m/>
    <m/>
    <n v="11885.568000000001"/>
    <m/>
    <m/>
    <n v="1"/>
    <n v="0.95"/>
    <n v="11291.2896"/>
    <s v="-"/>
    <s v="-"/>
    <n v="9508"/>
    <n v="10775"/>
    <n v="7885"/>
    <n v="10700"/>
    <n v="0.94763312066674832"/>
    <m/>
    <m/>
    <s v="x"/>
    <m/>
    <m/>
    <m/>
    <m/>
    <s v="ㅇ"/>
    <s v="ㅇ"/>
  </r>
  <r>
    <n v="235"/>
    <x v="234"/>
    <n v="220"/>
    <x v="4"/>
    <n v="12"/>
    <x v="44"/>
    <x v="234"/>
    <s v="강남구 학동로 426"/>
    <s v="동양이엔피"/>
    <n v="5"/>
    <n v="30"/>
    <n v="6"/>
    <n v="0.83565459610027859"/>
    <m/>
    <n v="6.42"/>
    <n v="256.8"/>
    <n v="-2.9159999999999999"/>
    <s v="안전관리"/>
    <n v="0.48"/>
    <n v="0.48"/>
    <n v="4.5"/>
    <n v="0.48"/>
    <n v="0.48"/>
    <n v="5840"/>
    <m/>
    <m/>
    <n v="1"/>
    <n v="0.95"/>
    <n v="5548"/>
    <n v="5314"/>
    <n v="5525"/>
    <n v="2916"/>
    <n v="5057"/>
    <n v="2526"/>
    <n v="5042"/>
    <n v="0.90879596250901229"/>
    <m/>
    <m/>
    <s v="ㅇ"/>
    <s v="인버터"/>
    <n v="4"/>
    <n v="5"/>
    <m/>
    <s v="ㅇ"/>
    <s v="ㅇ"/>
  </r>
  <r>
    <n v="236"/>
    <x v="235"/>
    <n v="226"/>
    <x v="4"/>
    <n v="1"/>
    <x v="45"/>
    <x v="235"/>
    <s v="송파구 방이동 443-15"/>
    <s v="LS산전㈜"/>
    <n v="15"/>
    <n v="92"/>
    <n v="6.1333333333333337"/>
    <n v="0.85422469823584035"/>
    <m/>
    <n v="0"/>
    <n v="0"/>
    <n v="10.512"/>
    <m/>
    <s v="-"/>
    <s v="-"/>
    <s v="-"/>
    <s v="-"/>
    <s v="-"/>
    <n v="17520"/>
    <m/>
    <m/>
    <n v="1"/>
    <n v="0.95"/>
    <n v="16644"/>
    <n v="0"/>
    <s v="-"/>
    <n v="19381"/>
    <n v="15031"/>
    <n v="8247"/>
    <n v="15318"/>
    <n v="0.92033165104542181"/>
    <m/>
    <m/>
    <s v="x"/>
    <m/>
    <m/>
    <m/>
    <m/>
    <s v="ㅇ"/>
    <s v="ㅇ"/>
  </r>
  <r>
    <n v="237"/>
    <x v="236"/>
    <n v="223"/>
    <x v="4"/>
    <n v="1"/>
    <x v="45"/>
    <x v="236"/>
    <s v="송파구 거여동 289"/>
    <s v="LS산전㈜"/>
    <n v="30"/>
    <n v="210"/>
    <n v="7"/>
    <n v="0.97493036211699169"/>
    <m/>
    <n v="0"/>
    <n v="0"/>
    <n v="21.024000000000001"/>
    <m/>
    <s v="-"/>
    <s v="-"/>
    <s v="-"/>
    <s v="-"/>
    <s v="-"/>
    <n v="35040"/>
    <m/>
    <m/>
    <n v="1"/>
    <n v="0.95"/>
    <n v="33288"/>
    <n v="32554.73"/>
    <n v="31723.64"/>
    <n v="29822.1"/>
    <n v="29850.5"/>
    <n v="19356"/>
    <n v="30152"/>
    <n v="0.90579187695265562"/>
    <m/>
    <m/>
    <s v="x"/>
    <m/>
    <m/>
    <m/>
    <m/>
    <s v="ㅇ"/>
    <s v="ㅇ"/>
  </r>
  <r>
    <n v="238"/>
    <x v="237"/>
    <n v="217"/>
    <x v="4"/>
    <n v="7"/>
    <x v="45"/>
    <x v="237"/>
    <s v="송파구 잠실동 306"/>
    <s v="(주)신성씨에스"/>
    <n v="24"/>
    <n v="162"/>
    <n v="6.75"/>
    <n v="0.94011142061281339"/>
    <m/>
    <n v="0.8"/>
    <n v="6.6666666666666661"/>
    <n v="16.019200000000001"/>
    <m/>
    <s v="-"/>
    <s v="-"/>
    <s v="-"/>
    <n v="0.8"/>
    <s v="-"/>
    <n v="28032.000000000004"/>
    <n v="35"/>
    <n v="15"/>
    <n v="0.94919835130905683"/>
    <n v="0.95"/>
    <n v="25277.53177470071"/>
    <n v="28720.1"/>
    <n v="30464.9"/>
    <n v="29158.5"/>
    <n v="27385"/>
    <n v="17207.7"/>
    <n v="18493"/>
    <n v="0.73159832869872676"/>
    <s v="원인미상"/>
    <s v=" 한강옆에 있어, 습도의 영향을 많이 받고, 올여름 폭풍과 폭우로 인해 태양광 발전효율이 낮음"/>
    <s v="x"/>
    <m/>
    <m/>
    <m/>
    <m/>
    <s v="ㅇ"/>
    <s v="ㅇ"/>
  </r>
  <r>
    <n v="239"/>
    <x v="238"/>
    <n v="209"/>
    <x v="4"/>
    <n v="5"/>
    <x v="46"/>
    <x v="238"/>
    <s v="강동구 성내로3가길 71"/>
    <s v="(주)아폴로테크"/>
    <n v="3"/>
    <n v="17"/>
    <n v="5.666666666666667"/>
    <n v="0.7892293407613743"/>
    <m/>
    <n v="0.6"/>
    <n v="39.999999999999993"/>
    <n v="1.5024000000000002"/>
    <s v="수리비용"/>
    <s v="-"/>
    <s v="-"/>
    <s v="-"/>
    <n v="0.6"/>
    <s v="-"/>
    <n v="3504.0000000000005"/>
    <m/>
    <m/>
    <n v="1"/>
    <n v="0.95"/>
    <n v="3328.8"/>
    <n v="0"/>
    <s v="-"/>
    <n v="3504"/>
    <n v="3504.0000000000005"/>
    <n v="2611"/>
    <n v="3020"/>
    <n v="0.90723383801970681"/>
    <m/>
    <m/>
    <s v="ㅇ"/>
    <s v="인버터"/>
    <n v="0.6"/>
    <n v="1"/>
    <m/>
    <s v="ㅇ"/>
    <s v="ㅇ"/>
  </r>
  <r>
    <n v="240"/>
    <x v="239"/>
    <n v="236"/>
    <x v="4"/>
    <n v="11"/>
    <x v="46"/>
    <x v="239"/>
    <s v="강동구 구천면로 395"/>
    <s v="헵시바주식회사"/>
    <n v="10"/>
    <n v="70"/>
    <n v="7"/>
    <n v="0.97493036211699169"/>
    <m/>
    <n v="0"/>
    <n v="0"/>
    <n v="7.008"/>
    <m/>
    <s v="-"/>
    <s v="-"/>
    <s v="-"/>
    <s v="-"/>
    <s v="-"/>
    <n v="11680"/>
    <m/>
    <m/>
    <n v="1"/>
    <n v="0.95"/>
    <n v="11096"/>
    <n v="0"/>
    <s v="-"/>
    <n v="11680"/>
    <n v="11680"/>
    <n v="7167"/>
    <n v="11767"/>
    <n v="1.0604722422494592"/>
    <m/>
    <m/>
    <s v="x"/>
    <m/>
    <m/>
    <m/>
    <m/>
    <s v="ㅇ"/>
    <s v="ㅇ"/>
  </r>
  <r>
    <n v="241"/>
    <x v="240"/>
    <n v="244"/>
    <x v="5"/>
    <n v="9"/>
    <x v="59"/>
    <x v="240"/>
    <s v="마포구 증산로 14"/>
    <s v="에스피브이㈜"/>
    <n v="272"/>
    <n v="1307"/>
    <n v="4.805147058823529"/>
    <n v="0.96644148407552866"/>
    <m/>
    <n v="0"/>
    <n v="0"/>
    <n v="190.61760000000004"/>
    <m/>
    <s v="-"/>
    <s v="-"/>
    <s v="-"/>
    <s v="-"/>
    <s v="-"/>
    <n v="317696.00000000006"/>
    <m/>
    <m/>
    <n v="1"/>
    <n v="0.95499999999999996"/>
    <n v="303399.68000000005"/>
    <n v="361029"/>
    <n v="344423"/>
    <n v="368040"/>
    <n v="358535"/>
    <n v="221162"/>
    <n v="342846"/>
    <n v="1.1300143757567573"/>
    <m/>
    <m/>
    <s v="ㅇ"/>
    <s v="모듈, 인버터"/>
    <n v="5.81"/>
    <n v="1.75"/>
    <m/>
    <s v="ㅇ"/>
    <s v="ㅇ"/>
  </r>
  <r>
    <n v="242"/>
    <x v="241"/>
    <n v="267"/>
    <x v="5"/>
    <n v="8"/>
    <x v="22"/>
    <x v="241"/>
    <s v="중구 세종대로 110"/>
    <s v="㈜이건창호"/>
    <n v="201"/>
    <n v="1845"/>
    <n v="9.1791044776119399"/>
    <n v="1.8461593880957239"/>
    <s v="BIPV"/>
    <n v="5.9"/>
    <n v="5.8706467661691546"/>
    <n v="134.96080000000003"/>
    <s v="수리비용"/>
    <s v="-"/>
    <s v="-"/>
    <s v="-"/>
    <n v="2.7"/>
    <n v="3.2"/>
    <n v="234768.00000000003"/>
    <m/>
    <m/>
    <n v="1"/>
    <n v="0.95499999999999996"/>
    <n v="224203.44000000003"/>
    <n v="206002"/>
    <n v="205847"/>
    <n v="200782"/>
    <n v="186905"/>
    <n v="112287"/>
    <n v="176002"/>
    <n v="0.78501025675609604"/>
    <s v="BIPV"/>
    <s v="건물일체형 태양광에 따른 옥상에 청소를 하지 못하는 모듈 및 일사량 및 황사에 의한 발전량 감소"/>
    <s v="ㅇ"/>
    <s v="모듈"/>
    <n v="5.9"/>
    <n v="2"/>
    <m/>
    <s v="ㅇ"/>
    <s v="ㅇ"/>
  </r>
  <r>
    <n v="243"/>
    <x v="242"/>
    <n v="285"/>
    <x v="5"/>
    <n v="6"/>
    <x v="23"/>
    <x v="242"/>
    <s v="강동구 아리수로 93길 47"/>
    <s v="㈜동이에코스"/>
    <n v="10"/>
    <n v="68"/>
    <n v="6.8"/>
    <n v="1.3676588897827835"/>
    <s v="소용량"/>
    <n v="0"/>
    <n v="0"/>
    <n v="7.008"/>
    <m/>
    <s v="-"/>
    <s v="-"/>
    <s v="-"/>
    <s v="-"/>
    <s v="-"/>
    <n v="11680"/>
    <m/>
    <m/>
    <n v="1"/>
    <n v="0.95499999999999996"/>
    <n v="11154.4"/>
    <n v="12080"/>
    <n v="11997"/>
    <n v="12642"/>
    <n v="12144"/>
    <n v="7784"/>
    <n v="12140"/>
    <n v="1.0883597504123934"/>
    <m/>
    <m/>
    <s v="x"/>
    <m/>
    <m/>
    <m/>
    <m/>
    <s v="ㅇ"/>
    <s v="ㅇ"/>
  </r>
  <r>
    <n v="244"/>
    <x v="243"/>
    <n v="248"/>
    <x v="5"/>
    <n v="12"/>
    <x v="60"/>
    <x v="243"/>
    <s v="양천구 신목로 16길 27"/>
    <s v="한양정공㈜"/>
    <n v="40"/>
    <n v="103"/>
    <n v="2.5750000000000002"/>
    <n v="0.51790024135156876"/>
    <m/>
    <n v="0.44"/>
    <n v="2.1999999999999997"/>
    <n v="27.591999999999999"/>
    <s v="수리비용"/>
    <s v="-"/>
    <s v="-"/>
    <s v="-"/>
    <s v="-"/>
    <n v="0.44"/>
    <n v="46720"/>
    <n v="30"/>
    <n v="0"/>
    <n v="0.999"/>
    <n v="0.95499999999999996"/>
    <n v="44572.982399999994"/>
    <n v="49150"/>
    <n v="49289"/>
    <n v="49459"/>
    <n v="43442"/>
    <n v="36520"/>
    <n v="44022"/>
    <n v="0.98763864632042231"/>
    <m/>
    <m/>
    <s v="ㅇ"/>
    <s v="접속반"/>
    <n v="0.44"/>
    <n v="1"/>
    <m/>
    <s v="ㅇ"/>
    <s v="ㅇ"/>
  </r>
  <r>
    <n v="245"/>
    <x v="244"/>
    <n v="256"/>
    <x v="5"/>
    <n v="2"/>
    <x v="49"/>
    <x v="244"/>
    <s v="광진구 광나루로 480"/>
    <s v="KD파워"/>
    <n v="10.56"/>
    <n v="88"/>
    <n v="8.3333333333333321"/>
    <n v="1.6760525610083128"/>
    <s v="구조물"/>
    <n v="1"/>
    <n v="18.939393939393941"/>
    <n v="6.4004479999999999"/>
    <s v="수리비용"/>
    <s v="-"/>
    <s v="-"/>
    <s v="-"/>
    <n v="1"/>
    <s v="-"/>
    <n v="12334.08"/>
    <n v="10"/>
    <n v="0"/>
    <n v="0.94099999999999995"/>
    <n v="0.95499999999999996"/>
    <n v="11084.082662399998"/>
    <n v="12318"/>
    <n v="12573"/>
    <n v="12791.1"/>
    <n v="10437.4"/>
    <n v="7764.5"/>
    <n v="11823"/>
    <n v="1.0666647263563449"/>
    <m/>
    <m/>
    <s v="ㅇ"/>
    <s v="모니터링"/>
    <n v="1"/>
    <n v="1"/>
    <m/>
    <s v="ㅇ"/>
    <s v="ㅇ"/>
  </r>
  <r>
    <n v="246"/>
    <x v="245"/>
    <n v="260"/>
    <x v="5"/>
    <n v="5"/>
    <x v="49"/>
    <x v="245"/>
    <s v="강북구 한천로 911"/>
    <s v="헥스파워시스템"/>
    <n v="28"/>
    <n v="180"/>
    <n v="6.4285714285714288"/>
    <n v="1.2929548327778415"/>
    <s v="구조물"/>
    <n v="2"/>
    <n v="14.285714285714285"/>
    <n v="17.622400000000003"/>
    <s v="수리비용"/>
    <s v="-"/>
    <s v="-"/>
    <s v="-"/>
    <n v="2"/>
    <s v="-"/>
    <n v="32704.000000000004"/>
    <n v="5"/>
    <n v="30"/>
    <n v="0.93400000000000005"/>
    <n v="0.95499999999999996"/>
    <n v="29170.986880000004"/>
    <n v="17978"/>
    <n v="17322"/>
    <n v="24813"/>
    <n v="20352"/>
    <n v="12138"/>
    <n v="29652"/>
    <n v="1.0164894359583627"/>
    <m/>
    <m/>
    <s v="ㅇ"/>
    <s v="기타"/>
    <n v="2"/>
    <n v="1"/>
    <m/>
    <s v="ㅇ"/>
    <s v="ㅇ"/>
  </r>
  <r>
    <n v="247"/>
    <x v="246"/>
    <n v="281"/>
    <x v="5"/>
    <n v="9"/>
    <x v="61"/>
    <x v="246"/>
    <s v="서초구 헌릉로 260"/>
    <s v="가람이앤씨"/>
    <n v="10"/>
    <n v="45"/>
    <n v="4.5"/>
    <n v="0.9050683829444891"/>
    <m/>
    <n v="0"/>
    <n v="0"/>
    <n v="7.008"/>
    <m/>
    <s v="-"/>
    <s v="-"/>
    <s v="-"/>
    <s v="-"/>
    <s v="-"/>
    <n v="11680"/>
    <n v="40"/>
    <n v="-20"/>
    <n v="0.98499999999999999"/>
    <n v="0.95499999999999996"/>
    <n v="10987.083999999999"/>
    <n v="11843"/>
    <n v="12464"/>
    <n v="12534"/>
    <n v="12221"/>
    <n v="7605"/>
    <n v="11336"/>
    <n v="1.0317569247672995"/>
    <m/>
    <m/>
    <s v="x"/>
    <m/>
    <m/>
    <m/>
    <m/>
    <s v="ㅇ"/>
    <s v="ㅇ"/>
  </r>
  <r>
    <n v="248"/>
    <x v="247"/>
    <n v="264"/>
    <x v="5"/>
    <n v="9"/>
    <x v="27"/>
    <x v="247"/>
    <s v="송파구 잠실동 10-1"/>
    <s v="LS(산전)"/>
    <n v="50"/>
    <n v="227"/>
    <n v="4.54"/>
    <n v="0.91311343523732902"/>
    <m/>
    <n v="0.42200000000000004"/>
    <n v="1.6880000000000002"/>
    <n v="34.618000000000002"/>
    <m/>
    <n v="0.20300000000000001"/>
    <n v="0.219"/>
    <s v="-"/>
    <s v="-"/>
    <s v="-"/>
    <n v="58400"/>
    <n v="31"/>
    <n v="0"/>
    <n v="0.999"/>
    <n v="0.95499999999999996"/>
    <n v="55716.227999999996"/>
    <n v="48056"/>
    <n v="60641"/>
    <n v="53164"/>
    <n v="47085"/>
    <n v="24996"/>
    <n v="48096"/>
    <n v="0.86323144488532144"/>
    <m/>
    <m/>
    <s v="x"/>
    <m/>
    <m/>
    <m/>
    <m/>
    <s v="ㅇ"/>
    <s v="ㅇ"/>
  </r>
  <r>
    <n v="249"/>
    <x v="248"/>
    <n v="276"/>
    <x v="5"/>
    <n v="10"/>
    <x v="62"/>
    <x v="248"/>
    <s v="강서구 양천로 237"/>
    <s v="㈜가람이앤씨"/>
    <n v="53"/>
    <n v="258"/>
    <n v="4.867924528301887"/>
    <n v="0.97906768469466743"/>
    <m/>
    <n v="8"/>
    <n v="30.188679245283019"/>
    <n v="29.142400000000009"/>
    <s v="안전관리"/>
    <n v="4"/>
    <n v="1"/>
    <n v="1"/>
    <n v="1"/>
    <n v="1"/>
    <n v="61904.000000000007"/>
    <m/>
    <m/>
    <n v="1"/>
    <n v="0.95499999999999996"/>
    <n v="59118.320000000007"/>
    <n v="52424"/>
    <n v="60043"/>
    <n v="58813"/>
    <n v="59428"/>
    <n v="37357"/>
    <n v="57304"/>
    <n v="0.96931035929302445"/>
    <m/>
    <m/>
    <s v="ㅇ"/>
    <s v="접속반"/>
    <n v="3"/>
    <n v="5"/>
    <m/>
    <s v="ㅇ"/>
    <s v="ㅇ"/>
  </r>
  <r>
    <n v="250"/>
    <x v="249"/>
    <n v="265"/>
    <x v="5"/>
    <n v="10"/>
    <x v="63"/>
    <x v="249"/>
    <s v="강남구 남부순환로 3142-33"/>
    <s v="㈜앤엠에스"/>
    <n v="60"/>
    <n v="275"/>
    <n v="4.583333333333333"/>
    <n v="0.92182890855457211"/>
    <m/>
    <n v="4.42"/>
    <n v="14.733333333333334"/>
    <n v="37.628"/>
    <s v="수리비용, 유지관리"/>
    <n v="0.4"/>
    <n v="0.4"/>
    <n v="0.95"/>
    <n v="1.72"/>
    <n v="0.95"/>
    <n v="70080"/>
    <m/>
    <m/>
    <n v="1"/>
    <n v="0.95499999999999996"/>
    <n v="66926.399999999994"/>
    <n v="75830"/>
    <n v="74481"/>
    <n v="75321"/>
    <n v="69729"/>
    <n v="31076"/>
    <n v="65940"/>
    <n v="0.98526142150182894"/>
    <m/>
    <m/>
    <s v="ㅇ"/>
    <s v="인버터"/>
    <n v="0.55000000000000004"/>
    <n v="5"/>
    <m/>
    <s v="ㅇ"/>
    <s v="ㅇ"/>
  </r>
  <r>
    <n v="251"/>
    <x v="250"/>
    <n v="245"/>
    <x v="5"/>
    <n v="12"/>
    <x v="64"/>
    <x v="250"/>
    <s v="종로구 구기동 244-9"/>
    <s v="㈜앤엠에스"/>
    <n v="30"/>
    <n v="135"/>
    <n v="4.5"/>
    <n v="0.9050683829444891"/>
    <m/>
    <n v="5.6"/>
    <n v="37.333333333333329"/>
    <n v="15.424000000000001"/>
    <s v="안전관리"/>
    <n v="1.2"/>
    <n v="1"/>
    <n v="1.1000000000000001"/>
    <n v="1.2"/>
    <n v="1.1000000000000001"/>
    <n v="35040"/>
    <n v="25"/>
    <n v="20"/>
    <n v="0.98499999999999999"/>
    <n v="0.95499999999999996"/>
    <n v="32961.252"/>
    <n v="37800"/>
    <n v="38800"/>
    <n v="39200"/>
    <n v="33698"/>
    <n v="21472"/>
    <n v="35425"/>
    <n v="1.0747467966326036"/>
    <m/>
    <m/>
    <s v="x"/>
    <m/>
    <m/>
    <m/>
    <m/>
    <s v="ㅇ"/>
    <s v="ㅇ"/>
  </r>
  <r>
    <n v="254"/>
    <x v="251"/>
    <n v="279"/>
    <x v="5"/>
    <n v="4"/>
    <x v="5"/>
    <x v="251"/>
    <s v="강서구 개화동 506-2 일대"/>
    <s v="디아이케이 주식회사"/>
    <n v="31.5"/>
    <n v="110"/>
    <n v="3.4920634920634921"/>
    <n v="0.7023458350891979"/>
    <m/>
    <n v="11.201000000000001"/>
    <n v="71.117460317460328"/>
    <n v="10.874200000000002"/>
    <s v="수리비용"/>
    <n v="0.29499999999999998"/>
    <n v="3.2000000000000001E-2"/>
    <s v="-"/>
    <n v="10.874000000000001"/>
    <s v="-"/>
    <n v="36792.000000000007"/>
    <m/>
    <m/>
    <n v="1"/>
    <n v="0.95499999999999996"/>
    <n v="35136.360000000008"/>
    <n v="38514"/>
    <n v="37859"/>
    <n v="36792"/>
    <n v="18465"/>
    <n v="18465"/>
    <n v="34807.71"/>
    <n v="0.99064644146405578"/>
    <m/>
    <s v="19.2월 인버터불량으로 교체"/>
    <s v="ㅇ"/>
    <s v="인버터"/>
    <n v="10.9"/>
    <n v="1"/>
    <m/>
    <s v="ㅇ"/>
    <s v="ㅇ"/>
  </r>
  <r>
    <n v="252"/>
    <x v="252"/>
    <n v="262"/>
    <x v="5"/>
    <n v="4"/>
    <x v="5"/>
    <x v="252"/>
    <s v="서초구 양재대로12길 74"/>
    <s v="패널(경동이엔에스), 인버터(헥스파워시스템)"/>
    <n v="9.6"/>
    <n v="36"/>
    <n v="3.75"/>
    <n v="0.7542236524537409"/>
    <m/>
    <n v="2.4368999999999996"/>
    <n v="50.768749999999997"/>
    <n v="4.2907800000000007"/>
    <s v="수리비용"/>
    <s v="-"/>
    <n v="9.0999999999999998E-2"/>
    <s v="-"/>
    <n v="0.95"/>
    <n v="1.3958999999999999"/>
    <n v="11212.8"/>
    <n v="35"/>
    <n v="-30"/>
    <n v="0.97799999999999998"/>
    <n v="0.95499999999999996"/>
    <n v="10472.643071999999"/>
    <n v="8293"/>
    <n v="8713"/>
    <n v="8086"/>
    <n v="7925"/>
    <n v="4707"/>
    <n v="7324"/>
    <n v="0.69934590051881806"/>
    <s v="시설정비"/>
    <s v="19.5월 휀노후 소음발생으로 교체, 20년3월,9월 안전점검 및 소모품 교체"/>
    <s v="ㅇ"/>
    <s v="기타"/>
    <n v="1.6"/>
    <n v="2"/>
    <m/>
    <s v="ㅇ"/>
    <s v="ㅇ"/>
  </r>
  <r>
    <n v="253"/>
    <x v="253"/>
    <n v="252"/>
    <x v="5"/>
    <n v="7"/>
    <x v="5"/>
    <x v="253"/>
    <s v="광진구 능동로 216"/>
    <s v="썬파워에너지"/>
    <n v="43.06"/>
    <n v="375"/>
    <n v="8.7087784486762647"/>
    <n v="1.751564450658943"/>
    <s v="구조물"/>
    <n v="0.79"/>
    <n v="3.6692986530422664"/>
    <n v="29.386448000000005"/>
    <s v="수리비용"/>
    <s v="-"/>
    <s v="-"/>
    <s v="-"/>
    <s v="-"/>
    <n v="0.79"/>
    <n v="50294.080000000002"/>
    <n v="90"/>
    <n v="0"/>
    <n v="0.68300000000000005"/>
    <n v="0.95499999999999996"/>
    <n v="32805.068091200003"/>
    <n v="37494"/>
    <n v="40633"/>
    <n v="40011"/>
    <n v="35253"/>
    <n v="21940"/>
    <n v="35190"/>
    <n v="1.0727001054279097"/>
    <m/>
    <s v="20.7월 인버터 보수"/>
    <s v="ㅇ"/>
    <s v="인버터"/>
    <n v="0.79"/>
    <n v="5"/>
    <m/>
    <s v="ㅇ"/>
    <s v="ㅇ"/>
  </r>
  <r>
    <n v="256"/>
    <x v="254"/>
    <n v="288"/>
    <x v="5"/>
    <n v="12"/>
    <x v="6"/>
    <x v="254"/>
    <s v="관악구 봉천9동 1718-1"/>
    <s v="한양정공㈜"/>
    <n v="40"/>
    <n v="103"/>
    <n v="2.5750000000000002"/>
    <n v="0.51790024135156876"/>
    <m/>
    <n v="0"/>
    <n v="0"/>
    <n v="28.032"/>
    <m/>
    <s v="-"/>
    <s v="-"/>
    <s v="-"/>
    <s v="-"/>
    <s v="-"/>
    <n v="46720"/>
    <m/>
    <m/>
    <n v="1"/>
    <n v="0.95499999999999996"/>
    <n v="44617.599999999999"/>
    <n v="52844"/>
    <n v="55636"/>
    <n v="26738"/>
    <n v="38722"/>
    <n v="30575"/>
    <n v="51036"/>
    <n v="1.1438535465825146"/>
    <m/>
    <m/>
    <s v="x"/>
    <m/>
    <m/>
    <m/>
    <m/>
    <s v="ㅇ"/>
    <s v="ㅇ"/>
  </r>
  <r>
    <n v="257"/>
    <x v="255"/>
    <n v="261"/>
    <x v="5"/>
    <n v="12"/>
    <x v="6"/>
    <x v="255"/>
    <s v="양천구 신정2동 1279-1"/>
    <s v="한양정공㈜"/>
    <n v="25"/>
    <n v="88"/>
    <n v="3.52"/>
    <n v="0.70796460176991149"/>
    <m/>
    <n v="2.2999999999999998"/>
    <n v="18.399999999999999"/>
    <n v="15.219999999999999"/>
    <s v="수리비용"/>
    <s v="-"/>
    <n v="2.2999999999999998"/>
    <s v="-"/>
    <s v="-"/>
    <s v="-"/>
    <n v="29200"/>
    <m/>
    <m/>
    <n v="1"/>
    <n v="0.95499999999999996"/>
    <n v="27886"/>
    <n v="27566"/>
    <n v="11976"/>
    <n v="14125"/>
    <n v="11431"/>
    <n v="16459"/>
    <n v="29358"/>
    <n v="1.052786344402209"/>
    <m/>
    <m/>
    <s v="ㅇ"/>
    <s v="인버터"/>
    <n v="2.2999999999999998"/>
    <n v="10"/>
    <m/>
    <s v="ㅇ"/>
    <s v="ㅇ"/>
  </r>
  <r>
    <n v="258"/>
    <x v="256"/>
    <n v="287"/>
    <x v="5"/>
    <n v="12"/>
    <x v="6"/>
    <x v="256"/>
    <s v="강북구 솔샘로 159"/>
    <s v="(주)한양전공"/>
    <n v="40"/>
    <n v="104"/>
    <n v="2.6"/>
    <n v="0.52292839903459365"/>
    <m/>
    <n v="0"/>
    <n v="0"/>
    <n v="28.032"/>
    <m/>
    <s v="-"/>
    <s v="-"/>
    <s v="-"/>
    <s v="-"/>
    <s v="-"/>
    <n v="46720"/>
    <m/>
    <m/>
    <n v="1"/>
    <n v="0.95499999999999996"/>
    <n v="44617.599999999999"/>
    <n v="53096"/>
    <n v="51962"/>
    <n v="53472"/>
    <n v="24733"/>
    <s v="(누적)375,853"/>
    <n v="48984"/>
    <n v="1.0978627268163237"/>
    <m/>
    <m/>
    <s v="x"/>
    <m/>
    <m/>
    <m/>
    <m/>
    <s v="ㅇ"/>
    <s v="ㅇ"/>
  </r>
  <r>
    <n v="259"/>
    <x v="257"/>
    <n v="290"/>
    <x v="5"/>
    <n v="12"/>
    <x v="6"/>
    <x v="257"/>
    <s v="양천구 신목로 5"/>
    <s v="한양정공㈜"/>
    <n v="20"/>
    <n v="68"/>
    <n v="3.4"/>
    <n v="0.68382944489139175"/>
    <m/>
    <n v="0"/>
    <n v="0"/>
    <n v="14.016"/>
    <m/>
    <s v="-"/>
    <s v="-"/>
    <s v="-"/>
    <s v="-"/>
    <s v="-"/>
    <n v="23360"/>
    <m/>
    <m/>
    <n v="1"/>
    <n v="0.95499999999999996"/>
    <n v="22308.799999999999"/>
    <n v="27211"/>
    <n v="28626"/>
    <n v="27576"/>
    <n v="20626"/>
    <n v="17128"/>
    <n v="27432"/>
    <n v="1.2296492863802626"/>
    <m/>
    <m/>
    <s v="x"/>
    <m/>
    <m/>
    <m/>
    <m/>
    <s v="ㅇ"/>
    <s v="ㅇ"/>
  </r>
  <r>
    <n v="255"/>
    <x v="258"/>
    <n v="251"/>
    <x v="5"/>
    <n v="12"/>
    <x v="6"/>
    <x v="258"/>
    <s v="중구 중림로 4길 41"/>
    <s v="한양정공㈜"/>
    <n v="20"/>
    <n v="67"/>
    <n v="3.35"/>
    <n v="0.67377312952534185"/>
    <m/>
    <n v="0.7"/>
    <n v="6.9999999999999991"/>
    <n v="13.316000000000001"/>
    <s v="수리비용"/>
    <n v="0.7"/>
    <s v="-"/>
    <s v="-"/>
    <s v="-"/>
    <s v="-"/>
    <n v="23360"/>
    <m/>
    <m/>
    <n v="1"/>
    <n v="0.95499999999999996"/>
    <n v="22308.799999999999"/>
    <n v="24000"/>
    <n v="26000"/>
    <n v="30470"/>
    <n v="29797"/>
    <n v="16710"/>
    <n v="27108"/>
    <n v="1.2151258696119918"/>
    <m/>
    <m/>
    <s v="ㅇ"/>
    <s v="인버터"/>
    <n v="0.7"/>
    <n v="10"/>
    <m/>
    <s v="ㅇ"/>
    <s v="ㅇ"/>
  </r>
  <r>
    <n v="260"/>
    <x v="259"/>
    <n v="270"/>
    <x v="5"/>
    <n v="8"/>
    <x v="53"/>
    <x v="259"/>
    <s v="중구 태평로1가 60-1"/>
    <s v="㈜동이에코스"/>
    <n v="20"/>
    <n v="89"/>
    <n v="4.45"/>
    <n v="0.89501206757843921"/>
    <m/>
    <n v="0"/>
    <n v="0"/>
    <n v="14.016"/>
    <m/>
    <s v="-"/>
    <s v="-"/>
    <s v="-"/>
    <s v="-"/>
    <s v="-"/>
    <n v="23360"/>
    <n v="10"/>
    <n v="-10"/>
    <n v="0.94099999999999995"/>
    <n v="0.95499999999999996"/>
    <n v="20992.580799999996"/>
    <n v="15980"/>
    <n v="19017"/>
    <n v="16901"/>
    <n v="17000"/>
    <n v="10090"/>
    <n v="15373"/>
    <n v="0.73230633939015266"/>
    <s v="시설노후"/>
    <s v="시설 노후(9년) 및 긴 장마로 인한 일조량 감소"/>
    <s v="x"/>
    <m/>
    <m/>
    <m/>
    <m/>
    <s v="ㅇ"/>
    <s v="ㅇ"/>
  </r>
  <r>
    <n v="261"/>
    <x v="260"/>
    <n v="250"/>
    <x v="5"/>
    <n v="12"/>
    <x v="33"/>
    <x v="260"/>
    <s v="종로구 신교동 66"/>
    <s v="보미건설"/>
    <n v="33"/>
    <n v="160"/>
    <n v="4.8484848484848486"/>
    <n v="0.97515785367756402"/>
    <m/>
    <n v="0.7"/>
    <n v="4.2424242424242422"/>
    <n v="22.426400000000001"/>
    <m/>
    <s v="-"/>
    <s v="-"/>
    <s v="-"/>
    <n v="0.4"/>
    <n v="0.3"/>
    <n v="38544"/>
    <m/>
    <m/>
    <n v="1"/>
    <n v="0.95499999999999996"/>
    <n v="36809.519999999997"/>
    <n v="2386"/>
    <n v="27675"/>
    <n v="26855"/>
    <n v="28276"/>
    <n v="18835"/>
    <n v="28992"/>
    <n v="0.78762233248355329"/>
    <s v="시설노후"/>
    <s v="시설 노후화로 인한 발전량 감소"/>
    <s v="ㅇ"/>
    <s v="모듈"/>
    <n v="0.3"/>
    <n v="1"/>
    <m/>
    <s v="ㅇ"/>
    <s v="ㅇ"/>
  </r>
  <r>
    <n v="262"/>
    <x v="261"/>
    <n v="253"/>
    <x v="5"/>
    <n v="5"/>
    <x v="54"/>
    <x v="261"/>
    <s v="중구 중림동 155-1"/>
    <s v="(주)케이디파워"/>
    <n v="68.64"/>
    <n v="462"/>
    <n v="6.7307692307692308"/>
    <n v="1.3537347608144068"/>
    <s v="구조물"/>
    <n v="0.9"/>
    <n v="2.6223776223776225"/>
    <n v="47.202912000000012"/>
    <s v="수리비용"/>
    <s v="-"/>
    <n v="0.9"/>
    <s v="-"/>
    <s v="-"/>
    <s v="-"/>
    <n v="80171.520000000004"/>
    <m/>
    <m/>
    <n v="1"/>
    <n v="0.95499999999999996"/>
    <n v="76563.801600000006"/>
    <n v="80124"/>
    <n v="83882"/>
    <n v="84447"/>
    <n v="83040"/>
    <n v="50036"/>
    <n v="69677"/>
    <n v="0.9100514674548239"/>
    <m/>
    <m/>
    <s v="ㅇ"/>
    <s v="인버터"/>
    <n v="0.9"/>
    <n v="2"/>
    <m/>
    <s v="ㅇ"/>
    <s v="ㅇ"/>
  </r>
  <r>
    <n v="263"/>
    <x v="262"/>
    <n v="257"/>
    <x v="5"/>
    <n v="9"/>
    <x v="55"/>
    <x v="262"/>
    <s v="서울시 성동구 뚝섬로1길43"/>
    <s v="㈜케이디파워"/>
    <n v="36.75"/>
    <n v="228"/>
    <n v="6.204081632653061"/>
    <n v="1.2478040290935359"/>
    <s v="구조물"/>
    <n v="1.2000000000000002"/>
    <n v="6.5306122448979593"/>
    <n v="24.554400000000001"/>
    <s v="수리비용"/>
    <s v="-"/>
    <s v="-"/>
    <s v="-"/>
    <n v="0.8"/>
    <n v="0.4"/>
    <n v="42924"/>
    <m/>
    <m/>
    <n v="1"/>
    <n v="0.95499999999999996"/>
    <n v="40992.42"/>
    <n v="48521"/>
    <n v="51282"/>
    <n v="41519"/>
    <s v="-"/>
    <n v="24166"/>
    <n v="40370"/>
    <n v="0.98481621724211454"/>
    <m/>
    <m/>
    <s v="ㅇ"/>
    <s v="모니터링"/>
    <n v="1.2"/>
    <n v="2"/>
    <m/>
    <s v="ㅇ"/>
    <s v="ㅇ"/>
  </r>
  <r>
    <n v="264"/>
    <x v="263"/>
    <n v="277"/>
    <x v="5"/>
    <n v="12"/>
    <x v="55"/>
    <x v="263"/>
    <s v="성동구 고산자로 262"/>
    <s v="㈜텐코리아"/>
    <n v="3"/>
    <n v="14"/>
    <n v="4.666666666666667"/>
    <n v="0.93858943416465535"/>
    <m/>
    <n v="0"/>
    <n v="0"/>
    <n v="2.1024000000000003"/>
    <m/>
    <s v="-"/>
    <s v="-"/>
    <s v="-"/>
    <s v="-"/>
    <s v="-"/>
    <n v="3504.0000000000005"/>
    <m/>
    <m/>
    <n v="1"/>
    <n v="0.95499999999999996"/>
    <n v="3346.32"/>
    <n v="0"/>
    <n v="0"/>
    <s v="-"/>
    <s v="-"/>
    <s v="(누적)3604"/>
    <n v="2803"/>
    <n v="0.83763656793133945"/>
    <m/>
    <s v="20년 통합모니터링 부착으로 정확한 발전량 표기가 어려움_x000a_6~8월 장마기간 장기화에 따른 월별 평균발전량 미달"/>
    <s v="x"/>
    <m/>
    <m/>
    <m/>
    <m/>
    <s v="ㅇ"/>
    <s v="ㅇ"/>
  </r>
  <r>
    <n v="265"/>
    <x v="264"/>
    <n v="268"/>
    <x v="5"/>
    <n v="12"/>
    <x v="13"/>
    <x v="264"/>
    <s v="광진구 아차로 78길 90"/>
    <s v="동양이엔피㈜"/>
    <n v="15"/>
    <n v="71"/>
    <n v="4.7333333333333334"/>
    <n v="0.9519978546527218"/>
    <m/>
    <n v="0.1"/>
    <n v="1.3333333333333335"/>
    <n v="10.412000000000001"/>
    <m/>
    <s v="-"/>
    <s v="-"/>
    <s v="-"/>
    <s v="-"/>
    <n v="0.1"/>
    <n v="17520"/>
    <m/>
    <m/>
    <n v="1"/>
    <n v="0.95499999999999996"/>
    <n v="16731.599999999999"/>
    <n v="0"/>
    <n v="607"/>
    <n v="18321"/>
    <n v="35563"/>
    <n v="11821"/>
    <n v="17395"/>
    <n v="1.0396495254488514"/>
    <m/>
    <m/>
    <s v="x"/>
    <m/>
    <m/>
    <m/>
    <m/>
    <s v="ㅇ"/>
    <s v="ㅇ"/>
  </r>
  <r>
    <n v="266"/>
    <x v="265"/>
    <n v="258"/>
    <x v="5"/>
    <n v="12"/>
    <x v="13"/>
    <x v="265"/>
    <s v="광진구 천호대로 112길 56"/>
    <s v="헥스파워시스템"/>
    <n v="5"/>
    <n v="19"/>
    <n v="3.8"/>
    <n v="0.76427996781979068"/>
    <m/>
    <n v="1.43"/>
    <n v="57.199999999999996"/>
    <n v="2.0739999999999998"/>
    <s v="수리비용"/>
    <s v="-"/>
    <s v="-"/>
    <s v="-"/>
    <n v="1.43"/>
    <s v="-"/>
    <n v="5840"/>
    <m/>
    <m/>
    <n v="1"/>
    <n v="0.95499999999999996"/>
    <n v="5577.2"/>
    <n v="0"/>
    <s v="-"/>
    <s v="-"/>
    <s v="-"/>
    <n v="3204"/>
    <n v="5852"/>
    <n v="1.0492720361471706"/>
    <m/>
    <m/>
    <s v="ㅇ"/>
    <s v="인버터"/>
    <n v="1.43"/>
    <n v="1"/>
    <m/>
    <s v="ㅇ"/>
    <s v="ㅇ"/>
  </r>
  <r>
    <n v="267"/>
    <x v="266"/>
    <n v="286"/>
    <x v="5"/>
    <n v="12"/>
    <x v="35"/>
    <x v="266"/>
    <s v="동대문구 홍릉로 81 (청량리동 203-1)"/>
    <s v="㈜윌링스"/>
    <n v="10"/>
    <n v="25"/>
    <n v="2.5"/>
    <n v="0.50281576830249397"/>
    <m/>
    <n v="0"/>
    <n v="0"/>
    <n v="7.008"/>
    <m/>
    <s v="-"/>
    <s v="-"/>
    <s v="-"/>
    <s v="-"/>
    <s v="-"/>
    <n v="11680"/>
    <n v="15"/>
    <n v="-10"/>
    <n v="0.96299999999999997"/>
    <n v="0.95499999999999996"/>
    <n v="10741.6872"/>
    <n v="12237.3"/>
    <n v="10127.5"/>
    <s v="-"/>
    <s v="-"/>
    <n v="8255"/>
    <n v="11773"/>
    <n v="1.0960103176342726"/>
    <m/>
    <m/>
    <s v="x"/>
    <m/>
    <m/>
    <m/>
    <m/>
    <s v="ㅇ"/>
    <s v="ㅇ"/>
  </r>
  <r>
    <n v="268"/>
    <x v="267"/>
    <n v="266"/>
    <x v="5"/>
    <n v="2"/>
    <x v="7"/>
    <x v="267"/>
    <s v="성북구 화랑로 296"/>
    <s v="㈜에이스파워텍"/>
    <n v="10"/>
    <n v="40"/>
    <n v="4"/>
    <n v="0.80450522928399026"/>
    <m/>
    <n v="0.157"/>
    <n v="3.1399999999999997"/>
    <n v="6.851"/>
    <m/>
    <s v="-"/>
    <s v="-"/>
    <s v="-"/>
    <s v="-"/>
    <n v="0.157"/>
    <n v="11680"/>
    <m/>
    <m/>
    <n v="1"/>
    <n v="0.95499999999999996"/>
    <n v="11154.4"/>
    <n v="12838"/>
    <n v="13532"/>
    <n v="13542"/>
    <n v="10694"/>
    <n v="9852.1"/>
    <n v="10504"/>
    <n v="0.94169117119701651"/>
    <m/>
    <m/>
    <s v="x"/>
    <m/>
    <m/>
    <m/>
    <m/>
    <s v="ㅇ"/>
    <s v="ㅇ"/>
  </r>
  <r>
    <n v="270"/>
    <x v="268"/>
    <n v="275"/>
    <x v="5"/>
    <n v="8"/>
    <x v="38"/>
    <x v="268"/>
    <s v="노원구 상계동 770-2"/>
    <s v="LS산전"/>
    <n v="12"/>
    <n v="50"/>
    <n v="4.166666666666667"/>
    <n v="0.83802628050415662"/>
    <m/>
    <n v="0"/>
    <n v="0"/>
    <n v="8.4096000000000011"/>
    <m/>
    <s v="-"/>
    <s v="-"/>
    <s v="-"/>
    <s v="-"/>
    <s v="-"/>
    <n v="14016.000000000002"/>
    <m/>
    <m/>
    <n v="1"/>
    <n v="0.95499999999999996"/>
    <n v="13385.28"/>
    <n v="0"/>
    <n v="0"/>
    <s v="-"/>
    <s v="-"/>
    <n v="6630"/>
    <n v="10730"/>
    <n v="0.80162686174663511"/>
    <m/>
    <m/>
    <s v="x"/>
    <m/>
    <m/>
    <m/>
    <m/>
    <s v="ㅇ"/>
    <s v="ㅇ"/>
  </r>
  <r>
    <n v="269"/>
    <x v="269"/>
    <n v="284"/>
    <x v="5"/>
    <n v="8"/>
    <x v="38"/>
    <x v="269"/>
    <s v="노원구 하계동 273-2"/>
    <s v="㈜삼광산전"/>
    <n v="10"/>
    <n v="49"/>
    <n v="4.9000000000000004"/>
    <n v="0.98551890587288815"/>
    <m/>
    <n v="0"/>
    <n v="0"/>
    <n v="7.008"/>
    <m/>
    <s v="-"/>
    <s v="-"/>
    <s v="-"/>
    <s v="-"/>
    <s v="-"/>
    <n v="11680"/>
    <m/>
    <m/>
    <n v="1"/>
    <n v="0.95499999999999996"/>
    <n v="11154.4"/>
    <n v="13110"/>
    <n v="13335"/>
    <n v="13545"/>
    <n v="12028"/>
    <n v="6618"/>
    <n v="11787"/>
    <n v="1.0567130459728897"/>
    <m/>
    <m/>
    <s v="x"/>
    <m/>
    <m/>
    <m/>
    <m/>
    <s v="ㅇ"/>
    <s v="ㅇ"/>
  </r>
  <r>
    <n v="271"/>
    <x v="270"/>
    <n v="271"/>
    <x v="5"/>
    <n v="12"/>
    <x v="40"/>
    <x v="270"/>
    <s v="서대문구 수색로 100-55"/>
    <s v="케이디파워"/>
    <n v="28.35"/>
    <n v="135"/>
    <n v="4.7619047619047619"/>
    <n v="0.95774432057617886"/>
    <m/>
    <n v="0"/>
    <n v="0"/>
    <n v="19.86768"/>
    <m/>
    <m/>
    <m/>
    <m/>
    <m/>
    <m/>
    <n v="33112.800000000003"/>
    <n v="5"/>
    <n v="-10"/>
    <n v="0.94"/>
    <n v="0.95499999999999996"/>
    <n v="29725.360560000001"/>
    <n v="9636.2999999999993"/>
    <n v="22733.4"/>
    <n v="23416.5"/>
    <n v="21521"/>
    <n v="10100"/>
    <n v="22364"/>
    <n v="0.75235420458092495"/>
    <s v="기타(디자인고려 경사각 낮음)"/>
    <s v="다른 시설상 문제는 없으며 일사량 및 각도의 문제_x000a_앞쪽에 높은 아파트가 있어 빛반사 문제로 태양광 경사각도가 5도밖에 되지 않아 먼지가 자주 쌓여 발전량이 저조함"/>
    <s v="x"/>
    <m/>
    <m/>
    <m/>
    <m/>
    <s v="ㅇ"/>
    <s v="ㅇ"/>
  </r>
  <r>
    <n v="272"/>
    <x v="271"/>
    <n v="273"/>
    <x v="5"/>
    <n v="12"/>
    <x v="40"/>
    <x v="271"/>
    <s v="서대문구 연희동 188-47"/>
    <s v="㈜아폴로테크"/>
    <n v="15"/>
    <n v="72"/>
    <n v="4.8"/>
    <n v="0.96540627514078825"/>
    <m/>
    <n v="0"/>
    <n v="0"/>
    <n v="10.512"/>
    <m/>
    <m/>
    <m/>
    <m/>
    <m/>
    <m/>
    <n v="17520"/>
    <m/>
    <m/>
    <n v="1"/>
    <n v="0.95499999999999996"/>
    <n v="16731.599999999999"/>
    <n v="17393"/>
    <n v="17032"/>
    <n v="17907"/>
    <n v="17240"/>
    <n v="8600"/>
    <n v="13382"/>
    <n v="0.79980396375720197"/>
    <m/>
    <s v="모니터링 시스템 고도화(교체)로 1월 발전량 모니터링 되지않음./ 연간 예상발전량이 아닌 모니터링 기간 11개월에 대한 발전효율 계산"/>
    <s v="x"/>
    <m/>
    <m/>
    <m/>
    <m/>
    <s v="ㅇ"/>
    <s v="ㅇ"/>
  </r>
  <r>
    <n v="273"/>
    <x v="272"/>
    <n v="272"/>
    <x v="5"/>
    <n v="4"/>
    <x v="56"/>
    <x v="272"/>
    <s v="양천구 가로공원로 133"/>
    <s v="㈜삼광산전"/>
    <n v="15"/>
    <n v="96"/>
    <n v="6.4"/>
    <n v="1.2872083668543846"/>
    <s v="구조물"/>
    <n v="0"/>
    <n v="0"/>
    <n v="10.512"/>
    <m/>
    <s v="-"/>
    <s v="-"/>
    <s v="-"/>
    <s v="-"/>
    <s v="-"/>
    <n v="17520"/>
    <m/>
    <m/>
    <n v="0.96069304357543694"/>
    <n v="0.95499999999999996"/>
    <n v="16073.93172788678"/>
    <n v="16205"/>
    <n v="16144"/>
    <n v="16550"/>
    <s v="-"/>
    <n v="5778"/>
    <n v="12756"/>
    <n v="0.79358306455100358"/>
    <s v="시설노후"/>
    <s v="패널 노후화 및 오염으로 인해 효율 저하 추정"/>
    <s v="x"/>
    <m/>
    <m/>
    <m/>
    <m/>
    <s v="ㅇ"/>
    <s v="ㅇ"/>
  </r>
  <r>
    <n v="274"/>
    <x v="273"/>
    <n v="274"/>
    <x v="5"/>
    <n v="7"/>
    <x v="56"/>
    <x v="273"/>
    <s v="양천구 오목로5길 34"/>
    <s v="㈜파루"/>
    <n v="10"/>
    <n v="48"/>
    <n v="4.8"/>
    <n v="0.96540627514078825"/>
    <m/>
    <n v="0"/>
    <n v="0"/>
    <n v="7.008"/>
    <m/>
    <s v="-"/>
    <s v="-"/>
    <s v="-"/>
    <s v="-"/>
    <s v="-"/>
    <n v="11680"/>
    <m/>
    <n v="-15"/>
    <n v="0.95108611313968261"/>
    <n v="0.95499999999999996"/>
    <n v="10608.794940405274"/>
    <n v="0"/>
    <n v="9501"/>
    <n v="10625"/>
    <n v="9141"/>
    <n v="4218"/>
    <n v="8496"/>
    <n v="0.80084496379901171"/>
    <m/>
    <s v="패널 노후화 및 오염으로 인해 효율 저하 추정"/>
    <s v="x"/>
    <m/>
    <m/>
    <m/>
    <m/>
    <s v="ㅇ"/>
    <s v="ㅇ"/>
  </r>
  <r>
    <n v="275"/>
    <x v="274"/>
    <n v="282"/>
    <x v="5"/>
    <n v="7"/>
    <x v="56"/>
    <x v="274"/>
    <s v="양천구 목동남로 106-23"/>
    <s v="㈜에이스파워텍"/>
    <n v="3"/>
    <n v="13"/>
    <n v="4.333333333333333"/>
    <n v="0.87154733172432275"/>
    <m/>
    <n v="0"/>
    <n v="0"/>
    <n v="2.1024000000000003"/>
    <m/>
    <s v="-"/>
    <s v="-"/>
    <s v="-"/>
    <s v="-"/>
    <s v="-"/>
    <n v="3504.0000000000005"/>
    <m/>
    <m/>
    <n v="1"/>
    <n v="0.95499999999999996"/>
    <n v="3346.32"/>
    <n v="0"/>
    <n v="0"/>
    <s v="-"/>
    <s v="-"/>
    <s v="(누적)27168"/>
    <n v="3456"/>
    <n v="1.0327763035214803"/>
    <m/>
    <m/>
    <s v="x"/>
    <m/>
    <m/>
    <m/>
    <m/>
    <s v="ㅇ"/>
    <s v="ㅇ"/>
  </r>
  <r>
    <n v="276"/>
    <x v="275"/>
    <n v="259"/>
    <x v="5"/>
    <n v="11"/>
    <x v="65"/>
    <x v="275"/>
    <s v="강서구 강서로5길 50"/>
    <s v="유명전설㈜"/>
    <n v="72.25"/>
    <n v="449"/>
    <n v="6.2145328719723185"/>
    <n v="1.2499060482647462"/>
    <s v="구조물"/>
    <n v="1.8"/>
    <n v="4.9826989619377162"/>
    <n v="48.832800000000006"/>
    <s v="수리비용"/>
    <m/>
    <m/>
    <n v="1"/>
    <m/>
    <n v="0.8"/>
    <n v="84388"/>
    <n v="30"/>
    <n v="-10"/>
    <n v="0.997"/>
    <n v="0.95499999999999996"/>
    <n v="80348.768379999994"/>
    <n v="0"/>
    <n v="0"/>
    <n v="79246"/>
    <n v="78624"/>
    <n v="40589"/>
    <n v="48218"/>
    <n v="0.60010876298636806"/>
    <s v="시설정비"/>
    <s v="- 인버터 고장발생으로 발전량 하락 (고장기간 '20.9.~10월, 2달간 정지)_x000a_-현재 수리완료되어 정상동작됨"/>
    <s v="ㅇ"/>
    <s v="인버터"/>
    <n v="1.8"/>
    <n v="1"/>
    <m/>
    <s v="ㅇ"/>
    <s v="ㅇ"/>
  </r>
  <r>
    <n v="278"/>
    <x v="276"/>
    <n v="263"/>
    <x v="5"/>
    <n v="1"/>
    <x v="17"/>
    <x v="276"/>
    <s v="영등포구 대림로 197"/>
    <s v="텐코리아"/>
    <n v="10"/>
    <n v="42"/>
    <n v="4.2"/>
    <n v="0.84473049074818984"/>
    <m/>
    <n v="0.5"/>
    <n v="10"/>
    <n v="6.508"/>
    <m/>
    <n v="0.1"/>
    <n v="0.1"/>
    <n v="0.1"/>
    <n v="0.1"/>
    <n v="0.1"/>
    <n v="11680"/>
    <n v="7.2"/>
    <n v="48"/>
    <n v="0.92"/>
    <n v="0.95499999999999996"/>
    <n v="10262.048000000001"/>
    <n v="10200"/>
    <n v="10549"/>
    <n v="10598"/>
    <n v="9938"/>
    <n v="6600"/>
    <n v="9862"/>
    <n v="0.96101674831378681"/>
    <m/>
    <m/>
    <s v="x"/>
    <m/>
    <m/>
    <m/>
    <m/>
    <s v="ㅇ"/>
    <s v="ㅇ"/>
  </r>
  <r>
    <n v="279"/>
    <x v="277"/>
    <n v="254"/>
    <x v="5"/>
    <n v="1"/>
    <x v="17"/>
    <x v="277"/>
    <s v="영등포구 도림로 264"/>
    <s v="텐코리아"/>
    <n v="10"/>
    <n v="42"/>
    <n v="4.2"/>
    <n v="0.84473049074818984"/>
    <m/>
    <n v="0.90000000000000013"/>
    <n v="18.000000000000004"/>
    <n v="6.1079999999999997"/>
    <s v="안전관리"/>
    <n v="0.1"/>
    <n v="0.2"/>
    <n v="0.1"/>
    <n v="0.2"/>
    <n v="0.3"/>
    <n v="11680"/>
    <n v="30"/>
    <n v="0"/>
    <n v="0.999"/>
    <n v="0.95499999999999996"/>
    <n v="11143.245599999998"/>
    <n v="12941"/>
    <n v="9852"/>
    <n v="11949"/>
    <n v="10441"/>
    <n v="7175"/>
    <n v="12655"/>
    <n v="1.1356655371573252"/>
    <m/>
    <m/>
    <s v="ㅇ"/>
    <s v="인버터"/>
    <n v="0.1"/>
    <n v="1"/>
    <m/>
    <s v="ㅇ"/>
    <s v="ㅇ"/>
  </r>
  <r>
    <n v="277"/>
    <x v="278"/>
    <n v="255"/>
    <x v="5"/>
    <n v="2"/>
    <x v="17"/>
    <x v="278"/>
    <s v="영등포구 당산로29길 9"/>
    <s v="텐코리아"/>
    <n v="5"/>
    <n v="33.799999999999997"/>
    <n v="6.76"/>
    <n v="1.3596138374899436"/>
    <s v="구조물"/>
    <n v="1"/>
    <n v="40"/>
    <n v="2.504"/>
    <s v="수리비용"/>
    <n v="0.1"/>
    <n v="0.1"/>
    <n v="0.6"/>
    <n v="0.1"/>
    <n v="0.1"/>
    <n v="5840"/>
    <n v="20"/>
    <n v="-10"/>
    <n v="0.97899999999999998"/>
    <n v="0.95499999999999996"/>
    <n v="5460.0787999999993"/>
    <n v="451"/>
    <n v="7091"/>
    <n v="6537"/>
    <n v="6252"/>
    <n v="4100"/>
    <n v="6249"/>
    <n v="1.1444889769722739"/>
    <m/>
    <m/>
    <s v="ㅇ"/>
    <s v="인버터"/>
    <n v="0.5"/>
    <n v="1"/>
    <m/>
    <s v="ㅇ"/>
    <s v="ㅇ"/>
  </r>
  <r>
    <n v="280"/>
    <x v="279"/>
    <n v="289"/>
    <x v="5"/>
    <n v="8"/>
    <x v="18"/>
    <x v="279"/>
    <s v="관악구 신림동 108-51"/>
    <s v="㈜에스코전기"/>
    <n v="10"/>
    <n v="43"/>
    <n v="4.3"/>
    <n v="0.86484312148028952"/>
    <m/>
    <n v="0"/>
    <n v="0"/>
    <n v="7.008"/>
    <m/>
    <s v="-"/>
    <s v="-"/>
    <s v="-"/>
    <s v="-"/>
    <s v="-"/>
    <n v="11680"/>
    <n v="20"/>
    <n v="0"/>
    <n v="0.98099999999999998"/>
    <n v="0.95499999999999996"/>
    <n v="10942.466399999999"/>
    <n v="0"/>
    <n v="0"/>
    <n v="10502"/>
    <n v="10355"/>
    <n v="6602"/>
    <n v="12646"/>
    <n v="1.1556809532446908"/>
    <m/>
    <m/>
    <s v="x"/>
    <m/>
    <m/>
    <m/>
    <m/>
    <s v="ㅇ"/>
    <s v="ㅇ"/>
  </r>
  <r>
    <n v="281"/>
    <x v="280"/>
    <n v="280"/>
    <x v="5"/>
    <n v="1"/>
    <x v="43"/>
    <x v="280"/>
    <s v="서초구 사평대로 28길 70"/>
    <s v="(주)이맥스시스템"/>
    <n v="30"/>
    <n v="180"/>
    <n v="6"/>
    <n v="1.2067578439259854"/>
    <s v="구조물"/>
    <n v="0"/>
    <n v="0"/>
    <n v="21.024000000000001"/>
    <m/>
    <s v="-"/>
    <s v="-"/>
    <s v="-"/>
    <s v="-"/>
    <s v="-"/>
    <n v="35040"/>
    <m/>
    <m/>
    <n v="1"/>
    <n v="0.95499999999999996"/>
    <n v="33463.199999999997"/>
    <n v="31136"/>
    <n v="31538"/>
    <n v="32254"/>
    <n v="32528"/>
    <n v="19032"/>
    <n v="32532"/>
    <n v="0.97217241626622686"/>
    <m/>
    <m/>
    <s v="x"/>
    <m/>
    <m/>
    <m/>
    <m/>
    <s v="ㅇ"/>
    <s v="ㅇ"/>
  </r>
  <r>
    <n v="282"/>
    <x v="281"/>
    <n v="283"/>
    <x v="5"/>
    <n v="12"/>
    <x v="43"/>
    <x v="281"/>
    <s v="서초구 서초대로70길 51"/>
    <s v="㈜세기이엔지"/>
    <n v="10"/>
    <n v="48"/>
    <n v="4.8"/>
    <n v="0.96540627514078825"/>
    <m/>
    <n v="0"/>
    <n v="0"/>
    <n v="7.008"/>
    <m/>
    <s v="-"/>
    <s v="-"/>
    <s v="-"/>
    <s v="-"/>
    <s v="-"/>
    <n v="11680"/>
    <n v="15"/>
    <m/>
    <n v="1"/>
    <n v="0.95499999999999996"/>
    <n v="11154.4"/>
    <n v="11674"/>
    <n v="12396"/>
    <n v="12520"/>
    <n v="12523"/>
    <n v="7400"/>
    <n v="11551"/>
    <n v="1.0355554758660259"/>
    <m/>
    <m/>
    <s v="x"/>
    <m/>
    <m/>
    <m/>
    <m/>
    <s v="ㅇ"/>
    <s v="ㅇ"/>
  </r>
  <r>
    <n v="283"/>
    <x v="282"/>
    <n v="249"/>
    <x v="5"/>
    <n v="9"/>
    <x v="44"/>
    <x v="282"/>
    <s v="강남구 도곡로18길 57"/>
    <s v="케이디파워"/>
    <n v="46"/>
    <n v="250"/>
    <n v="5.4347826086956523"/>
    <n v="1.0930777571793346"/>
    <s v="구조물"/>
    <n v="3.5999999999999996"/>
    <n v="15.652173913043477"/>
    <n v="28.636800000000008"/>
    <s v="안전관리"/>
    <n v="0.72"/>
    <n v="0.72"/>
    <n v="0.72"/>
    <n v="0.72"/>
    <n v="0.72"/>
    <n v="53728.000000000007"/>
    <m/>
    <m/>
    <n v="1"/>
    <n v="0.95499999999999996"/>
    <n v="51310.240000000005"/>
    <n v="48120"/>
    <n v="48733"/>
    <n v="47638"/>
    <n v="47591"/>
    <n v="23785"/>
    <n v="47431"/>
    <n v="0.92439637779905137"/>
    <m/>
    <m/>
    <s v="x"/>
    <m/>
    <m/>
    <m/>
    <m/>
    <s v="ㅇ"/>
    <s v="ㅇ"/>
  </r>
  <r>
    <n v="284"/>
    <x v="283"/>
    <n v="269"/>
    <x v="5"/>
    <n v="9"/>
    <x v="45"/>
    <x v="283"/>
    <s v="송파구 백제고분로42길 15"/>
    <s v="㈜알루이엔씨"/>
    <n v="5.16"/>
    <n v="47"/>
    <n v="9.1085271317829459"/>
    <n v="1.8319644271486213"/>
    <s v="BIPV"/>
    <n v="0"/>
    <n v="0"/>
    <n v="3.6161279999999998"/>
    <m/>
    <s v="-"/>
    <s v="-"/>
    <s v="-"/>
    <s v="-"/>
    <s v="-"/>
    <n v="6026.88"/>
    <n v="90"/>
    <n v="-40"/>
    <n v="0.66100000000000003"/>
    <n v="0.95499999999999996"/>
    <n v="3804.4981344000003"/>
    <n v="0"/>
    <n v="0"/>
    <n v="1700"/>
    <s v="-"/>
    <s v="9,650(누적)"/>
    <n v="1730"/>
    <n v="0.45472489113806197"/>
    <s v="BIPV"/>
    <s v="BIPV 벽면 수직설치로 효율 저하"/>
    <s v="x"/>
    <m/>
    <m/>
    <m/>
    <m/>
    <s v="ㅇ"/>
    <s v="ㅇ"/>
  </r>
  <r>
    <n v="285"/>
    <x v="284"/>
    <n v="247"/>
    <x v="5"/>
    <n v="9"/>
    <x v="45"/>
    <x v="284"/>
    <s v="송파구 백제고분로42길 5"/>
    <s v="LS산전㈜"/>
    <n v="10.08"/>
    <n v="59"/>
    <n v="5.8531746031746028"/>
    <n v="1.1772273940415532"/>
    <m/>
    <n v="0.30000000000000004"/>
    <n v="5.9523809523809534"/>
    <n v="6.7640640000000012"/>
    <m/>
    <n v="0"/>
    <s v="-"/>
    <n v="0.1"/>
    <n v="0.1"/>
    <n v="0.1"/>
    <n v="11773.44"/>
    <m/>
    <m/>
    <n v="1"/>
    <n v="0.95499999999999996"/>
    <n v="11243.635200000001"/>
    <n v="0"/>
    <n v="12674.8"/>
    <n v="8565.2999999999993"/>
    <n v="5727.4"/>
    <n v="7337"/>
    <n v="9650"/>
    <n v="0.85826334885002309"/>
    <m/>
    <s v="7~8월 강우로 인해 발전량 감소"/>
    <s v="ㅇ"/>
    <s v="인버터, 접속반"/>
    <n v="1.1000000000000001"/>
    <n v="2"/>
    <m/>
    <s v="ㅇ"/>
    <s v="ㅇ"/>
  </r>
  <r>
    <n v="286"/>
    <x v="285"/>
    <n v="246"/>
    <x v="5"/>
    <n v="4"/>
    <x v="46"/>
    <x v="285"/>
    <s v="강동구 상암로3길 28"/>
    <s v="다쓰테크"/>
    <n v="5.76"/>
    <n v="20"/>
    <n v="3.4722222222222223"/>
    <n v="0.69835523375346376"/>
    <m/>
    <n v="0.2266"/>
    <n v="7.8680555555555554"/>
    <n v="3.8100079999999994"/>
    <s v="수리비용"/>
    <s v="-"/>
    <s v="-"/>
    <s v="-"/>
    <n v="0.2266"/>
    <s v="-"/>
    <n v="6727.6799999999994"/>
    <m/>
    <m/>
    <n v="1"/>
    <n v="0.95499999999999996"/>
    <n v="6424.9343999999992"/>
    <n v="0"/>
    <s v="-"/>
    <n v="6727.6799999999994"/>
    <n v="6727.6799999999994"/>
    <n v="3364"/>
    <n v="6263"/>
    <n v="0.97479594499828681"/>
    <m/>
    <m/>
    <s v="ㅇ"/>
    <s v="인버터"/>
    <n v="0.2266"/>
    <n v="1"/>
    <m/>
    <s v="ㅇ"/>
    <s v="ㅇ"/>
  </r>
  <r>
    <n v="287"/>
    <x v="286"/>
    <n v="243"/>
    <x v="5"/>
    <n v="12"/>
    <x v="46"/>
    <x v="286"/>
    <s v="강동구 상암로 168"/>
    <s v="HYPIS"/>
    <n v="25"/>
    <n v="120"/>
    <n v="4.8"/>
    <n v="0.96540627514078825"/>
    <m/>
    <n v="0"/>
    <n v="0"/>
    <n v="17.52"/>
    <m/>
    <s v="-"/>
    <s v="-"/>
    <s v="-"/>
    <s v="-"/>
    <s v="-"/>
    <n v="29200"/>
    <m/>
    <m/>
    <n v="1"/>
    <n v="0.95499999999999996"/>
    <n v="27886"/>
    <n v="31473.42"/>
    <n v="30793.22"/>
    <n v="31473.42"/>
    <n v="29200"/>
    <n v="18375"/>
    <n v="19161"/>
    <n v="0.68711898443663488"/>
    <s v="시설정비"/>
    <s v="1회로 퓨즈 단선으로 발전감소 '10월 교체 진행 "/>
    <s v="ㅇ"/>
    <s v="기타"/>
    <n v="1.2E-2"/>
    <n v="1"/>
    <m/>
    <s v="ㅇ"/>
    <s v="ㅇ"/>
  </r>
  <r>
    <n v="288"/>
    <x v="287"/>
    <n v="278"/>
    <x v="5"/>
    <n v="12"/>
    <x v="46"/>
    <x v="287"/>
    <s v="강동구 성내로 25"/>
    <s v="㈜다쓰테크"/>
    <n v="8"/>
    <n v="40"/>
    <n v="5"/>
    <n v="1.0056315366049879"/>
    <m/>
    <n v="0"/>
    <n v="0"/>
    <n v="5.6063999999999998"/>
    <m/>
    <s v="-"/>
    <s v="-"/>
    <s v="-"/>
    <s v="-"/>
    <s v="-"/>
    <n v="9344"/>
    <m/>
    <m/>
    <n v="1"/>
    <n v="0.95499999999999996"/>
    <n v="8923.52"/>
    <n v="9344"/>
    <n v="9321"/>
    <n v="9445"/>
    <n v="9355"/>
    <n v="5880"/>
    <n v="8100"/>
    <n v="0.90771354801692605"/>
    <m/>
    <m/>
    <s v="x"/>
    <m/>
    <m/>
    <m/>
    <m/>
    <s v="ㅇ"/>
    <s v="ㅇ"/>
  </r>
  <r>
    <n v="289"/>
    <x v="288"/>
    <n v="329"/>
    <x v="6"/>
    <n v="8"/>
    <x v="21"/>
    <x v="288"/>
    <s v="마포구 상암동 481-6"/>
    <s v="파워에너텍㈜"/>
    <n v="120"/>
    <n v="580"/>
    <n v="4.833333333333333"/>
    <n v="0.97446236559139776"/>
    <m/>
    <n v="0"/>
    <n v="0"/>
    <n v="84.096000000000004"/>
    <m/>
    <s v="-"/>
    <s v="-"/>
    <s v="-"/>
    <s v="-"/>
    <s v="-"/>
    <n v="140160"/>
    <n v="25"/>
    <n v="30"/>
    <n v="0.97499999999999998"/>
    <n v="0.96"/>
    <n v="131189.75999999998"/>
    <n v="131432"/>
    <n v="135597"/>
    <n v="133764"/>
    <n v="129875"/>
    <n v="81824"/>
    <n v="126636"/>
    <n v="0.96528875424423388"/>
    <m/>
    <m/>
    <s v="x"/>
    <m/>
    <m/>
    <m/>
    <m/>
    <s v="ㅇ"/>
    <s v="ㅇ"/>
  </r>
  <r>
    <n v="290"/>
    <x v="289"/>
    <n v="297"/>
    <x v="6"/>
    <n v="8"/>
    <x v="22"/>
    <x v="289"/>
    <s v="종로구 송월길 52"/>
    <s v="㈜유니테스트"/>
    <n v="7"/>
    <n v="31"/>
    <n v="4.4285714285714288"/>
    <n v="0.8928571428571429"/>
    <m/>
    <n v="0.60000000000000009"/>
    <n v="17.142857142857146"/>
    <n v="4.3056000000000001"/>
    <m/>
    <s v="-"/>
    <n v="0.2"/>
    <s v="-"/>
    <n v="0.4"/>
    <s v="-"/>
    <n v="8176.0000000000009"/>
    <m/>
    <m/>
    <n v="1"/>
    <n v="0.96"/>
    <n v="7848.9600000000009"/>
    <n v="7958"/>
    <n v="7320"/>
    <n v="7857"/>
    <n v="9204"/>
    <n v="5028"/>
    <n v="8387"/>
    <n v="1.0685492090671884"/>
    <m/>
    <m/>
    <s v="ㅇ"/>
    <s v="인버터"/>
    <n v="2.6"/>
    <n v="2"/>
    <m/>
    <s v="ㅇ"/>
    <s v="ㅇ"/>
  </r>
  <r>
    <n v="291"/>
    <x v="290"/>
    <n v="415"/>
    <x v="7"/>
    <n v="1"/>
    <x v="23"/>
    <x v="290"/>
    <s v="강서구 곰달래로 57가길 26"/>
    <s v="다쓰테크"/>
    <n v="20"/>
    <n v="149"/>
    <n v="7.45"/>
    <n v="1.6692807528568228"/>
    <s v="구조물"/>
    <n v="0"/>
    <n v="0"/>
    <n v="14.016"/>
    <m/>
    <s v="-"/>
    <s v="-"/>
    <s v="-"/>
    <s v="-"/>
    <s v="-"/>
    <n v="23360"/>
    <n v="35"/>
    <n v="0"/>
    <n v="1"/>
    <n v="0.96"/>
    <n v="22425.599999999999"/>
    <n v="25300"/>
    <n v="25800"/>
    <n v="28700"/>
    <n v="24900"/>
    <n v="15600"/>
    <n v="24200"/>
    <n v="1.0791238584474887"/>
    <m/>
    <m/>
    <s v="x"/>
    <m/>
    <m/>
    <m/>
    <m/>
    <s v="ㅇ"/>
    <s v="ㅇ"/>
  </r>
  <r>
    <n v="292"/>
    <x v="291"/>
    <n v="339"/>
    <x v="6"/>
    <n v="12"/>
    <x v="23"/>
    <x v="291"/>
    <s v="중랑구 용마산로 217"/>
    <s v="다쓰테크"/>
    <n v="10"/>
    <n v="45"/>
    <n v="4.5"/>
    <n v="0.907258064516129"/>
    <m/>
    <n v="0"/>
    <n v="0"/>
    <n v="7.008"/>
    <m/>
    <s v="-"/>
    <s v="-"/>
    <s v="-"/>
    <s v="-"/>
    <s v="-"/>
    <n v="11680"/>
    <n v="27.1"/>
    <n v="36"/>
    <n v="0.96399999999999997"/>
    <n v="0.96"/>
    <n v="10809.1392"/>
    <n v="12174"/>
    <n v="12281"/>
    <n v="10343"/>
    <n v="11360"/>
    <n v="7681"/>
    <n v="12063"/>
    <n v="1.1160000603933382"/>
    <m/>
    <m/>
    <s v="x"/>
    <m/>
    <m/>
    <m/>
    <m/>
    <s v="ㅇ"/>
    <s v="ㅇ"/>
  </r>
  <r>
    <n v="294"/>
    <x v="292"/>
    <n v="335"/>
    <x v="6"/>
    <n v="8"/>
    <x v="49"/>
    <x v="292"/>
    <s v="양천구 목동 900-11"/>
    <s v="㈜유니테스트"/>
    <n v="12"/>
    <n v="57"/>
    <n v="4.75"/>
    <n v="0.95766129032258063"/>
    <m/>
    <n v="0"/>
    <n v="0"/>
    <n v="8.4096000000000011"/>
    <m/>
    <s v="-"/>
    <s v="-"/>
    <s v="-"/>
    <s v="-"/>
    <s v="-"/>
    <n v="14016.000000000002"/>
    <n v="30"/>
    <n v="-30"/>
    <n v="0.97499999999999998"/>
    <n v="0.96"/>
    <n v="13118.976000000001"/>
    <n v="13242"/>
    <n v="13007"/>
    <n v="13571"/>
    <n v="13444"/>
    <n v="8182"/>
    <n v="13294"/>
    <n v="1.0133412851734769"/>
    <m/>
    <m/>
    <s v="x"/>
    <m/>
    <m/>
    <m/>
    <m/>
    <s v="ㅇ"/>
    <s v="ㅇ"/>
  </r>
  <r>
    <n v="293"/>
    <x v="293"/>
    <n v="328"/>
    <x v="6"/>
    <n v="11"/>
    <x v="49"/>
    <x v="293"/>
    <s v="구로구 구로동 409-60"/>
    <s v="SOLARVERT"/>
    <n v="10"/>
    <n v="25"/>
    <n v="2.5"/>
    <n v="0.50403225806451613"/>
    <m/>
    <n v="0"/>
    <n v="0"/>
    <n v="7.008"/>
    <m/>
    <s v="-"/>
    <s v="-"/>
    <s v="-"/>
    <s v="-"/>
    <s v="-"/>
    <n v="11680"/>
    <n v="0"/>
    <n v="-10"/>
    <n v="0.88400000000000001"/>
    <n v="0.96"/>
    <n v="9912.1152000000002"/>
    <n v="7000"/>
    <n v="6000"/>
    <n v="6000"/>
    <n v="6000"/>
    <n v="7200"/>
    <n v="9435"/>
    <n v="0.95186545047418336"/>
    <m/>
    <m/>
    <s v="x"/>
    <m/>
    <m/>
    <m/>
    <m/>
    <s v="ㅇ"/>
    <s v="ㅇ"/>
  </r>
  <r>
    <n v="300"/>
    <x v="294"/>
    <n v="350"/>
    <x v="6"/>
    <n v="9"/>
    <x v="50"/>
    <x v="294"/>
    <s v="동대문구 서울시립대로 163"/>
    <s v="이앤에이치㈜"/>
    <n v="40"/>
    <n v="165.79"/>
    <n v="4.1447500000000002"/>
    <n v="0.83563508064516134"/>
    <m/>
    <n v="0"/>
    <n v="0"/>
    <n v="28.032"/>
    <m/>
    <s v="-"/>
    <s v="-"/>
    <s v="-"/>
    <s v="-"/>
    <s v="-"/>
    <n v="46720"/>
    <m/>
    <m/>
    <n v="1"/>
    <n v="0.96"/>
    <n v="44851.199999999997"/>
    <n v="52563"/>
    <n v="48567"/>
    <n v="44080"/>
    <n v="53238"/>
    <n v="32746"/>
    <n v="52491"/>
    <n v="1.1703365796232879"/>
    <m/>
    <m/>
    <s v="x"/>
    <m/>
    <m/>
    <m/>
    <m/>
    <s v="ㅇ"/>
    <s v="ㅇ"/>
  </r>
  <r>
    <n v="296"/>
    <x v="295"/>
    <n v="308"/>
    <x v="6"/>
    <n v="12"/>
    <x v="50"/>
    <x v="295"/>
    <s v="동대문구 서울시립대로 163"/>
    <s v="지에스네오텍"/>
    <n v="40"/>
    <n v="112.10299999999999"/>
    <n v="2.802575"/>
    <n v="0.56503528225806454"/>
    <m/>
    <n v="2.8"/>
    <n v="13.999999999999998"/>
    <n v="25.231999999999999"/>
    <s v="수리비용"/>
    <s v="-"/>
    <s v="-"/>
    <s v="-"/>
    <n v="2.8"/>
    <s v="-"/>
    <n v="46720"/>
    <m/>
    <m/>
    <n v="1"/>
    <n v="0.96"/>
    <n v="44851.199999999997"/>
    <n v="35792"/>
    <n v="38292"/>
    <n v="2902"/>
    <n v="23985"/>
    <n v="34189"/>
    <n v="54566"/>
    <n v="1.2166006706621004"/>
    <m/>
    <m/>
    <s v="ㅇ"/>
    <s v="접속반, 모니터링"/>
    <n v="2.8"/>
    <n v="2"/>
    <m/>
    <s v="ㅇ"/>
    <s v="ㅇ"/>
  </r>
  <r>
    <n v="298"/>
    <x v="296"/>
    <n v="305"/>
    <x v="6"/>
    <n v="12"/>
    <x v="50"/>
    <x v="296"/>
    <s v="동대문구 서울시립대로 163"/>
    <s v="지에스네오텍"/>
    <n v="40"/>
    <n v="112.10299999999999"/>
    <n v="2.802575"/>
    <n v="0.56503528225806454"/>
    <m/>
    <n v="2.2999999999999998"/>
    <n v="11.5"/>
    <n v="25.731999999999999"/>
    <s v="수리비용"/>
    <s v="-"/>
    <s v="-"/>
    <n v="2"/>
    <s v="-"/>
    <n v="0.3"/>
    <n v="46720"/>
    <m/>
    <m/>
    <n v="1"/>
    <n v="0.96"/>
    <n v="44851.199999999997"/>
    <n v="34494"/>
    <n v="39281"/>
    <n v="21889"/>
    <n v="48130"/>
    <n v="35022"/>
    <n v="55485"/>
    <n v="1.2370906464041096"/>
    <m/>
    <m/>
    <s v="ㅇ"/>
    <s v="모니터링, 인버터"/>
    <n v="2.2999999999999998"/>
    <n v="2"/>
    <m/>
    <s v="ㅇ"/>
    <s v="ㅇ"/>
  </r>
  <r>
    <n v="297"/>
    <x v="297"/>
    <n v="295"/>
    <x v="6"/>
    <n v="12"/>
    <x v="50"/>
    <x v="297"/>
    <s v="동대문구 서울시립대로 163"/>
    <s v="지에스네오텍"/>
    <n v="50"/>
    <n v="140.34100000000001"/>
    <n v="2.8068200000000001"/>
    <n v="0.56589112903225813"/>
    <m/>
    <n v="0.5"/>
    <n v="2"/>
    <n v="34.54"/>
    <s v="수리비용"/>
    <s v="-"/>
    <s v="-"/>
    <s v="-"/>
    <n v="0.5"/>
    <s v="-"/>
    <n v="58400"/>
    <m/>
    <m/>
    <n v="1"/>
    <n v="0.96"/>
    <n v="56064"/>
    <n v="72316"/>
    <n v="68068"/>
    <n v="68316"/>
    <n v="65472"/>
    <n v="41014"/>
    <n v="65300"/>
    <n v="1.1647402968036529"/>
    <m/>
    <m/>
    <s v="ㅇ"/>
    <s v="인버터"/>
    <n v="0.5"/>
    <n v="1"/>
    <m/>
    <s v="ㅇ"/>
    <s v="ㅇ"/>
  </r>
  <r>
    <n v="299"/>
    <x v="298"/>
    <n v="337"/>
    <x v="6"/>
    <n v="12"/>
    <x v="50"/>
    <x v="298"/>
    <s v="동대문구 서울시립대로 163"/>
    <s v="지에스네오텍"/>
    <n v="30"/>
    <n v="77.822000000000003"/>
    <n v="2.594066666666667"/>
    <n v="0.52299731182795706"/>
    <m/>
    <n v="0"/>
    <n v="0"/>
    <n v="21.024000000000001"/>
    <m/>
    <s v="-"/>
    <s v="-"/>
    <s v="-"/>
    <s v="-"/>
    <s v="-"/>
    <n v="35040"/>
    <m/>
    <m/>
    <n v="1"/>
    <n v="0.96"/>
    <n v="33638.400000000001"/>
    <n v="39811"/>
    <n v="37467"/>
    <n v="37811"/>
    <n v="37045"/>
    <n v="22729"/>
    <n v="36644"/>
    <n v="1.0893502663622525"/>
    <m/>
    <m/>
    <s v="x"/>
    <m/>
    <m/>
    <m/>
    <m/>
    <s v="ㅇ"/>
    <s v="ㅇ"/>
  </r>
  <r>
    <n v="295"/>
    <x v="299"/>
    <n v="298"/>
    <x v="6"/>
    <n v="12"/>
    <x v="50"/>
    <x v="299"/>
    <s v="동대문구 서울시립대로 163"/>
    <s v="지에스네오텍"/>
    <n v="60"/>
    <n v="177.13399999999999"/>
    <n v="2.952233333333333"/>
    <n v="0.59520833333333323"/>
    <m/>
    <n v="0.8"/>
    <n v="2.666666666666667"/>
    <n v="41.248000000000005"/>
    <s v="수리비용"/>
    <s v="-"/>
    <s v="-"/>
    <s v="-"/>
    <n v="0.8"/>
    <s v="-"/>
    <n v="70080"/>
    <m/>
    <m/>
    <n v="1"/>
    <n v="0.96"/>
    <n v="67276.800000000003"/>
    <n v="85022"/>
    <n v="83988"/>
    <n v="82358"/>
    <n v="80495"/>
    <n v="53697"/>
    <n v="85337"/>
    <n v="1.2684461805555556"/>
    <m/>
    <m/>
    <s v="ㅇ"/>
    <s v="접속반"/>
    <n v="0.8"/>
    <n v="1"/>
    <m/>
    <s v="ㅇ"/>
    <s v="ㅇ"/>
  </r>
  <r>
    <n v="301"/>
    <x v="300"/>
    <n v="333"/>
    <x v="6"/>
    <n v="12"/>
    <x v="26"/>
    <x v="300"/>
    <s v="마포구 한강난지로 162"/>
    <s v="㈜케이디파워"/>
    <n v="10"/>
    <n v="44"/>
    <n v="4.4000000000000004"/>
    <n v="0.88709677419354849"/>
    <m/>
    <n v="0"/>
    <n v="0"/>
    <n v="7.008"/>
    <m/>
    <s v="-"/>
    <s v="-"/>
    <s v="-"/>
    <s v="-"/>
    <s v="-"/>
    <n v="11680"/>
    <m/>
    <m/>
    <n v="1"/>
    <n v="0.96"/>
    <n v="11212.8"/>
    <n v="7656"/>
    <n v="8704"/>
    <n v="11684"/>
    <n v="11331"/>
    <n v="7642"/>
    <n v="11291"/>
    <n v="1.0069741723744292"/>
    <m/>
    <m/>
    <s v="x"/>
    <m/>
    <m/>
    <m/>
    <m/>
    <s v="ㅇ"/>
    <s v="ㅇ"/>
  </r>
  <r>
    <n v="302"/>
    <x v="301"/>
    <n v="312"/>
    <x v="6"/>
    <n v="10"/>
    <x v="66"/>
    <x v="301"/>
    <s v="노원구 동일로 1238"/>
    <s v="KD파워"/>
    <n v="20"/>
    <n v="50"/>
    <n v="2.5"/>
    <n v="0.50403225806451613"/>
    <m/>
    <n v="0.5"/>
    <n v="5"/>
    <n v="13.516"/>
    <m/>
    <m/>
    <m/>
    <m/>
    <m/>
    <n v="0.5"/>
    <n v="23360"/>
    <n v="0"/>
    <n v="0"/>
    <n v="0.88400000000000001"/>
    <n v="0.96"/>
    <n v="19824.2304"/>
    <n v="17605.91"/>
    <n v="17115.650000000001"/>
    <n v="18138.169999999998"/>
    <n v="16540.05"/>
    <n v="10171.709999999999"/>
    <n v="14720"/>
    <n v="0.74252567201801689"/>
    <s v="기타(디자인고려 경사각 낮음)"/>
    <s v="설치시 주민민원으로 인한 각도 조절/ 태양광 경사각도가 0도라 먼지가 자주 쌓여 발전량이 저조함"/>
    <s v="x"/>
    <m/>
    <m/>
    <m/>
    <m/>
    <s v="ㅇ"/>
    <s v="ㅇ"/>
  </r>
  <r>
    <n v="303"/>
    <x v="302"/>
    <n v="311"/>
    <x v="6"/>
    <n v="12"/>
    <x v="27"/>
    <x v="302"/>
    <s v="송파구 올림픽로 25"/>
    <s v="㈜다쓰테크"/>
    <n v="50"/>
    <n v="208"/>
    <n v="4.16"/>
    <n v="0.83870967741935487"/>
    <m/>
    <n v="3.6688000000000001"/>
    <n v="14.6752"/>
    <n v="31.371199999999998"/>
    <s v="수리비용"/>
    <s v="-"/>
    <n v="0.184"/>
    <s v="-"/>
    <s v="-"/>
    <n v="3.4847999999999999"/>
    <n v="58400"/>
    <n v="30"/>
    <n v="0"/>
    <n v="0.999"/>
    <n v="0.96"/>
    <n v="56007.936000000002"/>
    <n v="61212"/>
    <n v="63208"/>
    <n v="64437"/>
    <n v="61763"/>
    <n v="33889"/>
    <n v="36828"/>
    <n v="0.65754967296063183"/>
    <s v="시설정비"/>
    <s v="20년 7월 초~12월 초 태양광 접속함 고장 발생(고장기간 발전 못했음)"/>
    <s v="ㅇ"/>
    <s v="접속반"/>
    <n v="3.4847999999999999"/>
    <n v="40"/>
    <m/>
    <s v="ㅇ"/>
    <s v="ㅇ"/>
  </r>
  <r>
    <n v="304"/>
    <x v="303"/>
    <n v="341"/>
    <x v="6"/>
    <n v="12"/>
    <x v="52"/>
    <x v="303"/>
    <s v="과천시 대공원광장로 102"/>
    <s v="지투파워㈜"/>
    <n v="100"/>
    <n v="382"/>
    <n v="3.82"/>
    <n v="0.77016129032258063"/>
    <s v="구조물"/>
    <n v="46.79"/>
    <n v="93.58"/>
    <n v="23.29"/>
    <s v="수리비용"/>
    <s v="-"/>
    <s v="-"/>
    <n v="46.79"/>
    <s v="-"/>
    <s v="-"/>
    <n v="116800"/>
    <m/>
    <m/>
    <n v="1"/>
    <n v="0.96"/>
    <n v="112128"/>
    <n v="101465"/>
    <n v="125827"/>
    <n v="107680"/>
    <n v="121324"/>
    <n v="69567"/>
    <n v="112909"/>
    <n v="1.0069652539954337"/>
    <m/>
    <s v="유지관리내역(단위 : 백만원)_x000a_  - 2018.06.14. : PC구매 및 교체                  (1)_x000a_  - 2018.08.17. : 인버터 IGBT 교체               (0.85)_x000a_  - 2018.11.06. : 인버터 교체공사                (44.94)"/>
    <s v="ㅇ"/>
    <s v="인버터"/>
    <n v="46.79"/>
    <n v="51"/>
    <m/>
    <s v="ㅇ"/>
    <s v="ㅇ"/>
  </r>
  <r>
    <n v="305"/>
    <x v="304"/>
    <n v="321"/>
    <x v="6"/>
    <n v="3"/>
    <x v="67"/>
    <x v="304"/>
    <s v="구로구 연동로 240"/>
    <s v="주식회사 탑선"/>
    <n v="44.82"/>
    <n v="191"/>
    <n v="4.2614904060687193"/>
    <n v="0.85917145283643537"/>
    <m/>
    <n v="0"/>
    <n v="0"/>
    <n v="31.409856000000005"/>
    <m/>
    <s v="-"/>
    <s v="-"/>
    <s v="-"/>
    <s v="-"/>
    <s v="-"/>
    <n v="52349.760000000002"/>
    <m/>
    <m/>
    <n v="1"/>
    <n v="0.96"/>
    <n v="50255.7696"/>
    <n v="52541"/>
    <n v="42633"/>
    <n v="51401"/>
    <n v="48060"/>
    <n v="31073"/>
    <n v="45250"/>
    <n v="0.90039413106510258"/>
    <m/>
    <m/>
    <s v="x"/>
    <m/>
    <m/>
    <m/>
    <m/>
    <s v="ㅇ"/>
    <s v="ㅇ"/>
  </r>
  <r>
    <n v="308"/>
    <x v="305"/>
    <n v="301"/>
    <x v="6"/>
    <n v="1"/>
    <x v="5"/>
    <x v="305"/>
    <s v="종로구 서린동 63"/>
    <s v="헥스파워시스템㈜, LS산전"/>
    <n v="33"/>
    <n v="291"/>
    <n v="8.8181818181818183"/>
    <n v="1.7778592375366569"/>
    <s v="BIPV"/>
    <n v="1.69"/>
    <n v="10.242424242424242"/>
    <n v="21.436399999999999"/>
    <s v="수리비용"/>
    <s v="-"/>
    <s v="-"/>
    <s v="-"/>
    <s v="-"/>
    <n v="1.69"/>
    <n v="38544"/>
    <n v="90"/>
    <n v="0"/>
    <n v="0.68"/>
    <n v="0.96"/>
    <n v="25161.523200000003"/>
    <n v="22521"/>
    <n v="22635"/>
    <n v="22621"/>
    <n v="22598"/>
    <n v="12840"/>
    <n v="14359"/>
    <n v="0.57067292333080999"/>
    <s v="시설정비"/>
    <s v="20.9월,11월 인버터 소모품 교체"/>
    <s v="ㅇ"/>
    <s v="인버터"/>
    <n v="1.69"/>
    <n v="2"/>
    <m/>
    <s v="ㅇ"/>
    <s v="ㅇ"/>
  </r>
  <r>
    <n v="306"/>
    <x v="306"/>
    <n v="303"/>
    <x v="6"/>
    <n v="4"/>
    <x v="5"/>
    <x v="306"/>
    <s v="도봉구 도봉동 288-19"/>
    <s v="KD파워"/>
    <n v="30"/>
    <n v="90"/>
    <n v="3"/>
    <n v="0.60483870967741937"/>
    <m/>
    <n v="2"/>
    <n v="13.333333333333332"/>
    <n v="19.024000000000001"/>
    <s v="수리비용"/>
    <s v="-"/>
    <n v="1.5"/>
    <s v="-"/>
    <n v="0.5"/>
    <s v="-"/>
    <n v="35040"/>
    <n v="90"/>
    <n v="15"/>
    <n v="0.87"/>
    <n v="0.96"/>
    <n v="29265.407999999999"/>
    <n v="33053"/>
    <n v="33084"/>
    <n v="32068"/>
    <n v="26710"/>
    <n v="13711"/>
    <n v="20358"/>
    <n v="0.69563356164383561"/>
    <s v="시설정비"/>
    <s v="17.3월 계측기 고장으로 수리"/>
    <s v="ㅇ"/>
    <s v="인버터"/>
    <n v="2"/>
    <n v="2"/>
    <m/>
    <s v="ㅇ"/>
    <s v="ㅇ"/>
  </r>
  <r>
    <n v="307"/>
    <x v="307"/>
    <n v="309"/>
    <x v="6"/>
    <n v="6"/>
    <x v="5"/>
    <x v="307"/>
    <s v="마포구 월드컵로 243-48"/>
    <s v="㈜에너솔라"/>
    <n v="158"/>
    <n v="1229"/>
    <n v="7.7784810126582276"/>
    <n v="1.5682421396488362"/>
    <s v="구조물"/>
    <n v="2.97"/>
    <n v="3.7594936708860764"/>
    <n v="107.7564"/>
    <s v="수리비용"/>
    <s v="-"/>
    <s v="-"/>
    <s v="-"/>
    <n v="2.2000000000000002"/>
    <n v="0.77"/>
    <n v="184544"/>
    <n v="0"/>
    <n v="0"/>
    <n v="0.88400000000000001"/>
    <n v="0.96"/>
    <n v="156611.42015999998"/>
    <n v="164600"/>
    <n v="159200"/>
    <n v="145785"/>
    <n v="155571"/>
    <n v="89400"/>
    <n v="136200"/>
    <n v="0.86966837961658916"/>
    <m/>
    <s v="19년 옥외현황판 노후로 보수,20.5월 태양광모니터링 cpu 교체"/>
    <s v="ㅇ"/>
    <s v="인버터"/>
    <n v="3"/>
    <n v="2"/>
    <m/>
    <s v="ㅇ"/>
    <s v="ㅇ"/>
  </r>
  <r>
    <n v="309"/>
    <x v="308"/>
    <n v="352"/>
    <x v="6"/>
    <n v="10"/>
    <x v="6"/>
    <x v="308"/>
    <s v="성북구 길음1동 1281-1"/>
    <s v="영동테크인㈜"/>
    <n v="40"/>
    <n v="109"/>
    <n v="2.7250000000000001"/>
    <n v="0.54939516129032262"/>
    <m/>
    <n v="0"/>
    <n v="0"/>
    <n v="28.032"/>
    <m/>
    <s v="-"/>
    <s v="-"/>
    <s v="-"/>
    <s v="-"/>
    <s v="-"/>
    <n v="46720"/>
    <m/>
    <m/>
    <n v="1"/>
    <n v="0.96"/>
    <n v="44851.199999999997"/>
    <n v="55682"/>
    <n v="54408"/>
    <n v="58235"/>
    <n v="49165"/>
    <n v="32445"/>
    <n v="53549"/>
    <n v="1.19392569206621"/>
    <m/>
    <m/>
    <s v="x"/>
    <m/>
    <m/>
    <m/>
    <m/>
    <s v="ㅇ"/>
    <s v="ㅇ"/>
  </r>
  <r>
    <n v="310"/>
    <x v="309"/>
    <n v="353"/>
    <x v="6"/>
    <n v="10"/>
    <x v="6"/>
    <x v="309"/>
    <s v="은평구 불광동 637-1"/>
    <s v="영동테크인㈜"/>
    <n v="40"/>
    <n v="109"/>
    <n v="2.7250000000000001"/>
    <n v="0.54939516129032262"/>
    <m/>
    <n v="0"/>
    <n v="0"/>
    <n v="28.032"/>
    <m/>
    <s v="-"/>
    <s v="-"/>
    <s v="-"/>
    <s v="-"/>
    <s v="-"/>
    <n v="46720"/>
    <m/>
    <m/>
    <n v="1"/>
    <n v="0.96"/>
    <n v="44851.199999999997"/>
    <n v="0"/>
    <n v="0"/>
    <s v="-"/>
    <n v="43279"/>
    <n v="30744"/>
    <n v="54022"/>
    <n v="1.2044716752283107"/>
    <m/>
    <m/>
    <s v="x"/>
    <m/>
    <m/>
    <m/>
    <m/>
    <s v="ㅇ"/>
    <s v="ㅇ"/>
  </r>
  <r>
    <n v="311"/>
    <x v="310"/>
    <n v="338"/>
    <x v="6"/>
    <n v="10"/>
    <x v="6"/>
    <x v="310"/>
    <s v="은평구 불광로 122-10"/>
    <s v="영동테크인㈜"/>
    <n v="20"/>
    <n v="56"/>
    <n v="2.8"/>
    <n v="0.56451612903225801"/>
    <m/>
    <n v="0"/>
    <n v="0"/>
    <n v="14.016"/>
    <m/>
    <s v="-"/>
    <s v="-"/>
    <s v="-"/>
    <s v="-"/>
    <s v="-"/>
    <n v="23360"/>
    <m/>
    <m/>
    <n v="1"/>
    <n v="0.96"/>
    <n v="22425.599999999999"/>
    <n v="24549"/>
    <n v="25545"/>
    <n v="25582"/>
    <n v="24159"/>
    <n v="14024"/>
    <n v="24768"/>
    <n v="1.1044520547945207"/>
    <m/>
    <m/>
    <s v="x"/>
    <m/>
    <m/>
    <m/>
    <m/>
    <s v="ㅇ"/>
    <s v="ㅇ"/>
  </r>
  <r>
    <n v="312"/>
    <x v="311"/>
    <n v="319"/>
    <x v="6"/>
    <n v="3"/>
    <x v="68"/>
    <x v="311"/>
    <s v="중구 을지로 281"/>
    <s v="㈜쏠라이트"/>
    <n v="68.73"/>
    <n v="152"/>
    <n v="2.21155245162229"/>
    <n v="0.44587751040771978"/>
    <m/>
    <n v="0"/>
    <n v="0"/>
    <n v="48.165984000000009"/>
    <m/>
    <m/>
    <m/>
    <m/>
    <m/>
    <m/>
    <n v="80276.640000000014"/>
    <n v="0"/>
    <m/>
    <n v="0.88400000000000001"/>
    <n v="0.96069304357543694"/>
    <n v="68175.149294894945"/>
    <n v="64503"/>
    <n v="64276"/>
    <n v="62504"/>
    <n v="56686"/>
    <n v="36912"/>
    <n v="53765.7"/>
    <n v="0.78864073721986039"/>
    <s v="주변환경 변화에 따른 음영"/>
    <s v="평면 고정형 동방향 패널 및 주변 지형지물 음영 발생으로 인한 태양광 발전시간 제한"/>
    <s v="x"/>
    <m/>
    <m/>
    <m/>
    <m/>
    <s v="ㅇ"/>
    <s v="ㅇ"/>
  </r>
  <r>
    <n v="313"/>
    <x v="312"/>
    <n v="330"/>
    <x v="6"/>
    <n v="11"/>
    <x v="53"/>
    <x v="312"/>
    <s v="중구 태평로1가 60-1"/>
    <s v="㈜다쓰테크"/>
    <n v="40"/>
    <n v="179"/>
    <n v="4.4749999999999996"/>
    <n v="0.90221774193548376"/>
    <m/>
    <n v="0"/>
    <n v="0"/>
    <n v="28.032"/>
    <m/>
    <s v="-"/>
    <s v="-"/>
    <s v="-"/>
    <s v="-"/>
    <s v="-"/>
    <n v="46720"/>
    <n v="10"/>
    <n v="-90"/>
    <n v="0.88"/>
    <n v="0.96"/>
    <n v="39469.055999999997"/>
    <n v="37750"/>
    <n v="39412"/>
    <n v="41261"/>
    <n v="41918"/>
    <n v="25540"/>
    <n v="38668"/>
    <n v="0.97970420169157335"/>
    <m/>
    <m/>
    <s v="x"/>
    <m/>
    <m/>
    <m/>
    <m/>
    <s v="ㅇ"/>
    <s v="ㅇ"/>
  </r>
  <r>
    <n v="314"/>
    <x v="313"/>
    <n v="340"/>
    <x v="6"/>
    <n v="3"/>
    <x v="34"/>
    <x v="313"/>
    <s v="용산구 독서당로 103"/>
    <s v="케이디파워"/>
    <n v="22"/>
    <n v="83.48"/>
    <n v="3.7945454545454549"/>
    <n v="0.76502932551319658"/>
    <m/>
    <n v="0"/>
    <n v="0"/>
    <n v="15.417600000000002"/>
    <m/>
    <s v="-"/>
    <s v="-"/>
    <s v="-"/>
    <s v="-"/>
    <s v="-"/>
    <n v="25696.000000000004"/>
    <m/>
    <m/>
    <n v="1"/>
    <n v="0.96"/>
    <n v="24668.160000000003"/>
    <n v="28505"/>
    <n v="29316"/>
    <n v="29881"/>
    <n v="28601"/>
    <n v="17829"/>
    <n v="27743"/>
    <n v="1.1246481294105437"/>
    <m/>
    <m/>
    <s v="x"/>
    <m/>
    <m/>
    <m/>
    <m/>
    <s v="ㅇ"/>
    <s v="ㅇ"/>
  </r>
  <r>
    <n v="315"/>
    <x v="314"/>
    <n v="332"/>
    <x v="6"/>
    <n v="10"/>
    <x v="55"/>
    <x v="314"/>
    <s v="성동구 마장로 141(상왕십리동)"/>
    <s v="㈜삼광산전"/>
    <n v="25"/>
    <n v="120"/>
    <n v="4.8"/>
    <n v="0.96774193548387089"/>
    <m/>
    <n v="0"/>
    <n v="0"/>
    <n v="17.52"/>
    <m/>
    <s v="-"/>
    <s v="-"/>
    <s v="-"/>
    <s v="-"/>
    <s v="-"/>
    <n v="29200"/>
    <m/>
    <m/>
    <n v="1"/>
    <n v="0.96"/>
    <n v="28032"/>
    <n v="28795"/>
    <n v="28814"/>
    <n v="30549"/>
    <n v="27515"/>
    <n v="19536"/>
    <n v="28222"/>
    <n v="1.0067779680365296"/>
    <m/>
    <m/>
    <s v="x"/>
    <m/>
    <m/>
    <m/>
    <m/>
    <s v="ㅇ"/>
    <s v="ㅇ"/>
  </r>
  <r>
    <n v="316"/>
    <x v="315"/>
    <n v="294"/>
    <x v="6"/>
    <n v="7"/>
    <x v="35"/>
    <x v="315"/>
    <s v="동대문구 한천로 329 (휘경동 367-1)"/>
    <s v="㈜앤엠에스"/>
    <n v="10"/>
    <n v="42"/>
    <n v="4.2"/>
    <n v="0.84677419354838712"/>
    <m/>
    <n v="3.984"/>
    <n v="79.680000000000007"/>
    <n v="3.024"/>
    <s v="안전관리"/>
    <n v="0.79200000000000004"/>
    <n v="0.79200000000000004"/>
    <n v="0.8"/>
    <n v="0.8"/>
    <n v="0.8"/>
    <n v="11680"/>
    <n v="30"/>
    <n v="60"/>
    <n v="0.92500000000000004"/>
    <n v="0.96"/>
    <n v="10371.84"/>
    <n v="12635"/>
    <n v="13334"/>
    <n v="13222"/>
    <n v="12955"/>
    <n v="5318"/>
    <n v="12654"/>
    <n v="1.2200342465753424"/>
    <m/>
    <m/>
    <s v="x"/>
    <m/>
    <m/>
    <m/>
    <m/>
    <s v="ㅇ"/>
    <s v="ㅇ"/>
  </r>
  <r>
    <n v="317"/>
    <x v="316"/>
    <n v="302"/>
    <x v="6"/>
    <n v="2"/>
    <x v="7"/>
    <x v="316"/>
    <s v="성북구 화랑로 18자길 13"/>
    <s v="㈜에이스파워텍"/>
    <n v="20"/>
    <n v="87"/>
    <n v="4.3499999999999996"/>
    <n v="0.87701612903225801"/>
    <m/>
    <n v="1.857"/>
    <n v="18.57"/>
    <n v="12.159000000000001"/>
    <s v="수리비용"/>
    <s v="-"/>
    <n v="1.7"/>
    <s v="-"/>
    <s v="-"/>
    <n v="0.157"/>
    <n v="23360"/>
    <m/>
    <m/>
    <n v="1"/>
    <n v="0.96"/>
    <n v="22425.599999999999"/>
    <n v="20187"/>
    <n v="22018"/>
    <n v="22278"/>
    <n v="21550"/>
    <n v="13558"/>
    <n v="23392"/>
    <n v="1.043093607305936"/>
    <m/>
    <m/>
    <s v="ㅇ"/>
    <s v="지지대"/>
    <n v="1.7"/>
    <n v="267"/>
    <s v="정상발전중"/>
    <s v="ㅇ"/>
    <s v="ㅇ"/>
  </r>
  <r>
    <n v="318"/>
    <x v="317"/>
    <n v="313"/>
    <x v="6"/>
    <n v="12"/>
    <x v="7"/>
    <x v="317"/>
    <s v="성북구 북악산로 949-60"/>
    <s v="㈜디엔이솔라"/>
    <n v="60"/>
    <n v="154"/>
    <n v="2.5666666666666669"/>
    <n v="0.51747311827956999"/>
    <s v="구조물"/>
    <n v="4"/>
    <n v="13.333333333333332"/>
    <n v="38.048000000000002"/>
    <s v="수리비용, 안전점검"/>
    <s v="-"/>
    <n v="0.2"/>
    <n v="0.2"/>
    <n v="2.6"/>
    <n v="1"/>
    <n v="70080"/>
    <m/>
    <m/>
    <n v="1"/>
    <n v="0.96"/>
    <n v="67276.800000000003"/>
    <n v="49746.46"/>
    <n v="77435.259999999995"/>
    <n v="83141.67"/>
    <n v="74997.460000000006"/>
    <n v="46338.86"/>
    <n v="68897"/>
    <n v="1.0240825960806696"/>
    <m/>
    <m/>
    <s v="ㅇ"/>
    <s v="인버터"/>
    <n v="3.6684999999999999"/>
    <n v="1"/>
    <m/>
    <s v="x"/>
    <s v="x"/>
  </r>
  <r>
    <n v="320"/>
    <x v="318"/>
    <n v="345"/>
    <x v="6"/>
    <n v="4"/>
    <x v="37"/>
    <x v="318"/>
    <s v="강북구 솔매로49길 14"/>
    <s v="㈜케이디파워"/>
    <n v="49"/>
    <n v="221"/>
    <n v="4.5102040816326534"/>
    <n v="0.90931533903884143"/>
    <m/>
    <n v="0"/>
    <n v="0"/>
    <n v="34.339200000000005"/>
    <m/>
    <s v="-"/>
    <s v="-"/>
    <s v="-"/>
    <s v="-"/>
    <s v="-"/>
    <n v="57232.000000000007"/>
    <m/>
    <m/>
    <n v="1"/>
    <n v="0.96"/>
    <n v="54942.720000000008"/>
    <n v="63440"/>
    <n v="65305"/>
    <n v="66505"/>
    <n v="64299"/>
    <n v="40306"/>
    <n v="62843"/>
    <n v="1.1437912065511133"/>
    <m/>
    <m/>
    <s v="x"/>
    <m/>
    <m/>
    <m/>
    <m/>
    <s v="ㅇ"/>
    <s v="ㅇ"/>
  </r>
  <r>
    <n v="319"/>
    <x v="319"/>
    <n v="342"/>
    <x v="6"/>
    <n v="6"/>
    <x v="37"/>
    <x v="319"/>
    <s v="강북구 오현로21길 84"/>
    <s v="헥스파워시스템"/>
    <n v="64.84"/>
    <n v="229"/>
    <n v="3.531770512029611"/>
    <n v="0.71205050645758283"/>
    <m/>
    <n v="0"/>
    <n v="0"/>
    <n v="45.439872000000008"/>
    <m/>
    <s v="-"/>
    <s v="-"/>
    <s v="-"/>
    <s v="-"/>
    <s v="-"/>
    <n v="75733.12000000001"/>
    <n v="90"/>
    <n v="-30"/>
    <n v="0.67200000000000004"/>
    <n v="0.96"/>
    <n v="48856.95037440001"/>
    <n v="0"/>
    <n v="61416"/>
    <n v="59723"/>
    <n v="54339"/>
    <n v="32018"/>
    <n v="55407"/>
    <n v="1.1340658713940539"/>
    <m/>
    <m/>
    <s v="x"/>
    <m/>
    <m/>
    <m/>
    <m/>
    <s v="ㅇ"/>
    <s v="ㅇ"/>
  </r>
  <r>
    <n v="321"/>
    <x v="320"/>
    <n v="315"/>
    <x v="6"/>
    <n v="2"/>
    <x v="14"/>
    <x v="320"/>
    <s v="도봉구 도봉로 969"/>
    <s v="에스피브이"/>
    <n v="30"/>
    <n v="134"/>
    <n v="4.4666666666666668"/>
    <n v="0.90053763440860213"/>
    <m/>
    <n v="0"/>
    <n v="0"/>
    <n v="21.024000000000001"/>
    <m/>
    <s v="-"/>
    <s v="-"/>
    <s v="-"/>
    <s v="-"/>
    <s v="-"/>
    <n v="35040"/>
    <n v="20"/>
    <n v="-10"/>
    <n v="0.97899999999999998"/>
    <n v="0.96"/>
    <n v="32931.993599999994"/>
    <n v="35985"/>
    <n v="36152"/>
    <n v="36964"/>
    <n v="35149"/>
    <n v="0"/>
    <n v="0"/>
    <n v="0"/>
    <s v="음식물처리장 내부수리"/>
    <s v="처리장 내부화재로 인한 태양광 가동중단('21.2. 복구예정)"/>
    <s v="x"/>
    <m/>
    <m/>
    <m/>
    <m/>
    <s v="ㅇ"/>
    <s v="ㅇ"/>
  </r>
  <r>
    <n v="323"/>
    <x v="321"/>
    <n v="317"/>
    <x v="6"/>
    <n v="10"/>
    <x v="39"/>
    <x v="321"/>
    <s v="은평구 연서로13길29-23 (구산동 17-33)"/>
    <s v="케이디파워"/>
    <n v="6"/>
    <n v="25"/>
    <n v="4.166666666666667"/>
    <n v="0.84005376344086025"/>
    <m/>
    <n v="0"/>
    <n v="0"/>
    <n v="4.2048000000000005"/>
    <m/>
    <s v="-"/>
    <s v="-"/>
    <s v="-"/>
    <s v="-"/>
    <s v="-"/>
    <n v="7008.0000000000009"/>
    <n v="21"/>
    <n v="0"/>
    <n v="0.94717575452010416"/>
    <n v="0.96"/>
    <n v="6372.295380169815"/>
    <n v="6135"/>
    <n v="6058"/>
    <n v="5920"/>
    <n v="5725"/>
    <s v="(누적)39882"/>
    <n v="4694"/>
    <n v="0.7366262421869888"/>
    <s v="시설노후"/>
    <s v="모듈 노후화에 따른 발전효율 저하"/>
    <s v="x"/>
    <m/>
    <m/>
    <m/>
    <m/>
    <s v="ㅇ"/>
    <s v="ㅇ"/>
  </r>
  <r>
    <n v="322"/>
    <x v="322"/>
    <n v="304"/>
    <x v="6"/>
    <n v="10"/>
    <x v="39"/>
    <x v="322"/>
    <s v="은평구 진관1로 40"/>
    <s v="㈜다쓰테크"/>
    <n v="35"/>
    <n v="96"/>
    <n v="2.7428571428571429"/>
    <n v="0.55299539170506917"/>
    <m/>
    <n v="2.2000000000000002"/>
    <n v="12.571428571428571"/>
    <n v="22.327999999999999"/>
    <s v="수리비용"/>
    <s v="-"/>
    <s v="-"/>
    <s v="-"/>
    <s v="-"/>
    <n v="2.2000000000000002"/>
    <n v="40880"/>
    <n v="2"/>
    <n v="0"/>
    <n v="0.85352025177958413"/>
    <n v="0.96"/>
    <n v="33496.23157703942"/>
    <n v="22485"/>
    <n v="26216"/>
    <n v="24640"/>
    <n v="17202"/>
    <s v="(누적)172237"/>
    <n v="18384"/>
    <n v="0.5488378583040856"/>
    <s v="기타(디자인고려 경사각 낮음)"/>
    <s v="모듈각도 0도 (정상각도 : 18도 ~ 30도) / 평면설치 사유는 옥상구조상 샌드위치판넬로 되어 안전상 문제 수반 / 모듈 평면 설치로 인한 효율 한계"/>
    <s v="ㅇ"/>
    <s v="인버터, 모듈"/>
    <n v="2.1"/>
    <n v="10"/>
    <m/>
    <s v="ㅇ"/>
    <s v="ㅇ"/>
  </r>
  <r>
    <n v="324"/>
    <x v="323"/>
    <n v="310"/>
    <x v="6"/>
    <n v="5"/>
    <x v="40"/>
    <x v="323"/>
    <s v="서대문구 홍은동 8-150"/>
    <s v="에스피브이㈜"/>
    <n v="10"/>
    <n v="45"/>
    <n v="4.5"/>
    <n v="0.907258064516129"/>
    <m/>
    <n v="0.7"/>
    <n v="13.999999999999998"/>
    <n v="6.3079999999999998"/>
    <m/>
    <s v="-"/>
    <s v="-"/>
    <s v="-"/>
    <n v="0.4"/>
    <n v="0.3"/>
    <n v="11680"/>
    <m/>
    <m/>
    <n v="1"/>
    <n v="0.96"/>
    <n v="11212.8"/>
    <n v="0"/>
    <n v="0"/>
    <s v="-"/>
    <s v="-"/>
    <s v="105,094(누적)"/>
    <n v="14414"/>
    <n v="1.2854951484018267"/>
    <m/>
    <m/>
    <s v="x"/>
    <m/>
    <m/>
    <m/>
    <m/>
    <s v="ㅇ"/>
    <s v="ㅇ"/>
  </r>
  <r>
    <n v="325"/>
    <x v="324"/>
    <n v="346"/>
    <x v="6"/>
    <n v="6"/>
    <x v="15"/>
    <x v="324"/>
    <s v="마포구 월드컵로36길 15"/>
    <s v="㈜에코스"/>
    <n v="33.99"/>
    <n v="247"/>
    <n v="7.2668431891732856"/>
    <n v="1.4650893526559043"/>
    <s v="구조물"/>
    <n v="0"/>
    <n v="0"/>
    <n v="23.820192000000002"/>
    <m/>
    <s v="-"/>
    <s v="-"/>
    <s v="-"/>
    <s v="-"/>
    <s v="-"/>
    <n v="39700.320000000007"/>
    <m/>
    <m/>
    <n v="1"/>
    <n v="0.96"/>
    <n v="38112.307200000003"/>
    <n v="39791"/>
    <n v="44536"/>
    <n v="45405"/>
    <n v="44554"/>
    <n v="27772"/>
    <n v="44049"/>
    <n v="1.1557683917913004"/>
    <m/>
    <m/>
    <s v="x"/>
    <m/>
    <m/>
    <m/>
    <m/>
    <s v="ㅇ"/>
    <s v="ㅇ"/>
  </r>
  <r>
    <n v="328"/>
    <x v="325"/>
    <n v="336"/>
    <x v="6"/>
    <n v="1"/>
    <x v="56"/>
    <x v="325"/>
    <s v="양천구 신정3동 1287-5"/>
    <s v="㈜유니테스트"/>
    <n v="10"/>
    <n v="48"/>
    <n v="4.8"/>
    <n v="0.96774193548387089"/>
    <m/>
    <n v="0"/>
    <n v="0"/>
    <n v="7.008"/>
    <m/>
    <s v="-"/>
    <s v="-"/>
    <s v="-"/>
    <s v="-"/>
    <s v="-"/>
    <n v="11680"/>
    <m/>
    <m/>
    <n v="1"/>
    <n v="0.96"/>
    <n v="11212.8"/>
    <n v="0"/>
    <n v="0"/>
    <n v="12599"/>
    <n v="9653"/>
    <n v="6057"/>
    <n v="11367"/>
    <n v="1.0137521404109591"/>
    <m/>
    <m/>
    <s v="x"/>
    <m/>
    <m/>
    <m/>
    <m/>
    <s v="ㅇ"/>
    <s v="ㅇ"/>
  </r>
  <r>
    <n v="329"/>
    <x v="326"/>
    <n v="347"/>
    <x v="6"/>
    <n v="4"/>
    <x v="56"/>
    <x v="326"/>
    <s v="양천구 신정7동 330-14"/>
    <s v="㈜파루"/>
    <n v="10.15"/>
    <n v="49"/>
    <n v="4.8275862068965516"/>
    <n v="0.97330367074527246"/>
    <m/>
    <n v="0"/>
    <n v="0"/>
    <n v="7.1131200000000003"/>
    <m/>
    <s v="-"/>
    <s v="-"/>
    <s v="-"/>
    <s v="-"/>
    <s v="-"/>
    <n v="11855.2"/>
    <m/>
    <m/>
    <n v="1"/>
    <n v="0.96"/>
    <n v="11380.992"/>
    <n v="13017"/>
    <n v="13669"/>
    <n v="13391"/>
    <n v="12527"/>
    <n v="6578"/>
    <n v="13156"/>
    <n v="1.1559625030928762"/>
    <m/>
    <m/>
    <s v="x"/>
    <m/>
    <m/>
    <m/>
    <m/>
    <s v="ㅇ"/>
    <s v="ㅇ"/>
  </r>
  <r>
    <n v="326"/>
    <x v="327"/>
    <n v="357"/>
    <x v="6"/>
    <n v="8"/>
    <x v="56"/>
    <x v="327"/>
    <s v="양천구 신월5동 52-2"/>
    <s v="㈜파루"/>
    <n v="10"/>
    <n v="51"/>
    <n v="5.0999999999999996"/>
    <n v="1.0282258064516128"/>
    <m/>
    <n v="0"/>
    <n v="0"/>
    <n v="7.008"/>
    <m/>
    <s v="-"/>
    <s v="-"/>
    <s v="-"/>
    <s v="-"/>
    <s v="-"/>
    <n v="11680"/>
    <m/>
    <m/>
    <n v="1"/>
    <n v="0.96"/>
    <n v="11212.8"/>
    <n v="14541"/>
    <n v="9962"/>
    <n v="14304"/>
    <n v="15574"/>
    <n v="7892"/>
    <n v="14537"/>
    <n v="1.29646475456621"/>
    <m/>
    <m/>
    <s v="x"/>
    <m/>
    <m/>
    <m/>
    <m/>
    <s v="ㅇ"/>
    <s v="ㅇ"/>
  </r>
  <r>
    <n v="327"/>
    <x v="328"/>
    <n v="331"/>
    <x v="6"/>
    <n v="8"/>
    <x v="56"/>
    <x v="328"/>
    <s v="양천구 신정1동 1051-11"/>
    <s v="㈜유니테스트"/>
    <n v="10"/>
    <n v="48"/>
    <n v="4.8"/>
    <n v="0.96774193548387089"/>
    <m/>
    <n v="0"/>
    <n v="0"/>
    <n v="7.008"/>
    <m/>
    <s v="-"/>
    <s v="-"/>
    <s v="-"/>
    <s v="-"/>
    <s v="-"/>
    <n v="11680"/>
    <m/>
    <m/>
    <n v="1"/>
    <n v="0.96"/>
    <n v="11212.8"/>
    <n v="0"/>
    <n v="5255"/>
    <n v="12551"/>
    <n v="11672"/>
    <n v="7418"/>
    <n v="11088"/>
    <n v="0.98886986301369872"/>
    <m/>
    <m/>
    <s v="x"/>
    <m/>
    <m/>
    <m/>
    <m/>
    <s v="ㅇ"/>
    <s v="ㅇ"/>
  </r>
  <r>
    <n v="331"/>
    <x v="329"/>
    <n v="318"/>
    <x v="6"/>
    <n v="2"/>
    <x v="65"/>
    <x v="329"/>
    <s v="강서구 강서로12길 14"/>
    <s v="㈜에너솔라"/>
    <n v="10"/>
    <n v="36"/>
    <n v="3.6"/>
    <n v="0.72580645161290325"/>
    <m/>
    <n v="0"/>
    <n v="0"/>
    <n v="7.008"/>
    <m/>
    <m/>
    <m/>
    <m/>
    <m/>
    <m/>
    <n v="11680"/>
    <n v="35"/>
    <n v="-10"/>
    <n v="0.997"/>
    <n v="0.96"/>
    <n v="11179.161599999999"/>
    <s v="-"/>
    <s v="-"/>
    <n v="8532"/>
    <n v="9624"/>
    <n v="5385"/>
    <n v="8598"/>
    <n v="0.76910955469147169"/>
    <s v="시설정비"/>
    <s v="-먼지 청소 등을 실시하여 효율개선 조치예정_x000a_-효율저하 원인분석 및 필요시 예산확보후 정비예정"/>
    <s v="x"/>
    <m/>
    <m/>
    <m/>
    <m/>
    <s v="ㅇ"/>
    <s v="ㅇ"/>
  </r>
  <r>
    <n v="332"/>
    <x v="330"/>
    <n v="316"/>
    <x v="6"/>
    <n v="2"/>
    <x v="65"/>
    <x v="330"/>
    <s v="강서구 등촌로5길 6204"/>
    <s v="㈜에너솔라"/>
    <n v="10"/>
    <n v="42"/>
    <n v="4.2"/>
    <n v="0.84677419354838712"/>
    <m/>
    <n v="0"/>
    <n v="0"/>
    <n v="7.008"/>
    <m/>
    <m/>
    <m/>
    <m/>
    <m/>
    <m/>
    <n v="11680"/>
    <n v="25"/>
    <n v="-30"/>
    <n v="0.97499999999999998"/>
    <n v="0.96"/>
    <n v="10932.48"/>
    <s v="-"/>
    <s v="-"/>
    <n v="9482"/>
    <n v="10213"/>
    <n v="4990"/>
    <n v="7039"/>
    <n v="0.64386122819341995"/>
    <s v="시설정비"/>
    <s v="-먼지 청소 등을 실시하여 효율개선 조치예정_x000a_-효율저하 원인분석 및 필요시 예산확보후 정비예정"/>
    <s v="x"/>
    <m/>
    <m/>
    <m/>
    <m/>
    <s v="ㅇ"/>
    <s v="ㅇ"/>
  </r>
  <r>
    <n v="333"/>
    <x v="331"/>
    <n v="324"/>
    <x v="6"/>
    <n v="2"/>
    <x v="65"/>
    <x v="331"/>
    <s v="강서구 강서로 263029"/>
    <s v="㈜에너솔라"/>
    <n v="10"/>
    <n v="44"/>
    <n v="4.4000000000000004"/>
    <n v="0.88709677419354849"/>
    <m/>
    <n v="0"/>
    <n v="0"/>
    <n v="7.008"/>
    <m/>
    <m/>
    <m/>
    <m/>
    <m/>
    <m/>
    <n v="11680"/>
    <n v="30"/>
    <n v="0"/>
    <n v="0.999"/>
    <n v="0.96"/>
    <n v="11201.5872"/>
    <s v="-"/>
    <s v="-"/>
    <n v="10536"/>
    <n v="10961"/>
    <n v="6905"/>
    <n v="10222"/>
    <n v="0.91254925016340538"/>
    <m/>
    <m/>
    <s v="x"/>
    <m/>
    <m/>
    <m/>
    <m/>
    <s v="ㅇ"/>
    <s v="ㅇ"/>
  </r>
  <r>
    <n v="330"/>
    <x v="332"/>
    <n v="293"/>
    <x v="6"/>
    <n v="5"/>
    <x v="65"/>
    <x v="332"/>
    <s v="강서구 내발동 681-5"/>
    <s v="㈜에너솔라"/>
    <n v="19.5"/>
    <n v="88"/>
    <n v="4.5128205128205128"/>
    <n v="0.90984284532671633"/>
    <m/>
    <n v="0.3"/>
    <n v="3.0769230769230771"/>
    <n v="13.365600000000001"/>
    <s v="수리비용"/>
    <m/>
    <m/>
    <m/>
    <n v="0.3"/>
    <m/>
    <n v="22776.000000000004"/>
    <n v="20"/>
    <n v="10"/>
    <n v="0.97899999999999998"/>
    <n v="0.96"/>
    <n v="21405.795840000002"/>
    <n v="6192"/>
    <n v="19083"/>
    <n v="22720"/>
    <n v="21970"/>
    <n v="13283"/>
    <n v="13283"/>
    <n v="0.62053287339958108"/>
    <s v="시설정비"/>
    <s v="-인버터 고장('20.11월), 현재 원인분석 중_x000a_-'21년 3월까지 조치예정"/>
    <s v="ㅇ"/>
    <s v="인버터"/>
    <n v="0.3"/>
    <n v="1"/>
    <m/>
    <s v="ㅇ"/>
    <s v="ㅇ"/>
  </r>
  <r>
    <n v="522"/>
    <x v="333"/>
    <n v="522"/>
    <x v="8"/>
    <n v="6"/>
    <x v="65"/>
    <x v="333"/>
    <s v="강서구 등촌로13자길 39-16"/>
    <s v="㈜케이디파워"/>
    <n v="9"/>
    <n v="23"/>
    <n v="2.5555555555555554"/>
    <n v="0.60846560846560838"/>
    <m/>
    <n v="0"/>
    <n v="0"/>
    <n v="6.3071999999999999"/>
    <m/>
    <m/>
    <m/>
    <m/>
    <m/>
    <m/>
    <n v="10512"/>
    <n v="30"/>
    <n v="40"/>
    <n v="0.96499999999999997"/>
    <n v="0.97"/>
    <n v="9839.757599999999"/>
    <s v="-"/>
    <s v="-"/>
    <n v="9658"/>
    <n v="8689"/>
    <n v="6131"/>
    <n v="9796"/>
    <n v="0.99555297988235003"/>
    <m/>
    <m/>
    <s v="x"/>
    <m/>
    <m/>
    <m/>
    <m/>
    <s v="ㅇ"/>
    <s v="ㅇ"/>
  </r>
  <r>
    <n v="335"/>
    <x v="334"/>
    <n v="325"/>
    <x v="6"/>
    <n v="1"/>
    <x v="16"/>
    <x v="334"/>
    <s v="구로구 궁동 108-9"/>
    <s v="㈜삼광산전"/>
    <n v="5"/>
    <n v="23"/>
    <n v="4.5999999999999996"/>
    <n v="0.92741935483870963"/>
    <m/>
    <n v="0"/>
    <n v="0"/>
    <n v="3.504"/>
    <m/>
    <s v="-"/>
    <s v="-"/>
    <s v="-"/>
    <s v="-"/>
    <s v="-"/>
    <n v="5840"/>
    <m/>
    <m/>
    <n v="1"/>
    <n v="0.96"/>
    <n v="5606.4"/>
    <n v="3966"/>
    <n v="6482"/>
    <n v="4187"/>
    <s v="-"/>
    <n v="1502"/>
    <n v="5122"/>
    <n v="0.91359874429223753"/>
    <m/>
    <m/>
    <s v="x"/>
    <m/>
    <m/>
    <m/>
    <m/>
    <s v="ㅇ"/>
    <s v="ㅇ"/>
  </r>
  <r>
    <n v="334"/>
    <x v="335"/>
    <n v="323"/>
    <x v="6"/>
    <n v="9"/>
    <x v="16"/>
    <x v="335"/>
    <s v="구로구 가마산로25길 21"/>
    <s v="㈜에디슨솔라이텍"/>
    <n v="20"/>
    <n v="98"/>
    <n v="4.9000000000000004"/>
    <n v="0.98790322580645173"/>
    <m/>
    <n v="0"/>
    <n v="0"/>
    <n v="14.016"/>
    <m/>
    <s v="-"/>
    <s v="-"/>
    <s v="-"/>
    <s v="-"/>
    <s v="-"/>
    <n v="23360"/>
    <m/>
    <m/>
    <n v="1"/>
    <n v="0.96"/>
    <n v="22425.599999999999"/>
    <n v="16092"/>
    <n v="17510"/>
    <n v="17329"/>
    <s v="-"/>
    <n v="10072"/>
    <n v="20320"/>
    <n v="0.90610730593607314"/>
    <m/>
    <m/>
    <s v="x"/>
    <m/>
    <m/>
    <m/>
    <m/>
    <s v="ㅇ"/>
    <s v="ㅇ"/>
  </r>
  <r>
    <n v="336"/>
    <x v="336"/>
    <n v="291"/>
    <x v="6"/>
    <n v="5"/>
    <x v="41"/>
    <x v="336"/>
    <s v="금천구 시흥2동 금하로 764"/>
    <s v="㈜케이디파워"/>
    <n v="85"/>
    <n v="400"/>
    <n v="4.7058823529411766"/>
    <n v="0.94876660341555985"/>
    <m/>
    <n v="0"/>
    <n v="0"/>
    <n v="59.567999999999998"/>
    <m/>
    <m/>
    <s v="-"/>
    <s v="-"/>
    <s v="-"/>
    <s v="-"/>
    <n v="99280"/>
    <m/>
    <m/>
    <n v="1"/>
    <n v="0.96"/>
    <n v="95308.800000000003"/>
    <n v="83739"/>
    <n v="83208"/>
    <n v="80583"/>
    <n v="76527"/>
    <n v="49518"/>
    <n v="86610"/>
    <n v="0.90873035858178886"/>
    <m/>
    <m/>
    <s v="ㅇ"/>
    <s v="모듈"/>
    <n v="1.4"/>
    <n v="3"/>
    <m/>
    <s v="ㅇ"/>
    <s v="ㅇ"/>
  </r>
  <r>
    <n v="338"/>
    <x v="337"/>
    <n v="334"/>
    <x v="6"/>
    <n v="7"/>
    <x v="41"/>
    <x v="337"/>
    <s v="금천구 독로72길 86-5"/>
    <s v="㈜이멕스시스템"/>
    <n v="5"/>
    <n v="24"/>
    <n v="4.8"/>
    <n v="0.96774193548387089"/>
    <m/>
    <n v="0"/>
    <n v="0"/>
    <n v="3.504"/>
    <m/>
    <s v="-"/>
    <m/>
    <s v="-"/>
    <s v="-"/>
    <s v="-"/>
    <n v="5840"/>
    <m/>
    <m/>
    <n v="1"/>
    <n v="0.96"/>
    <n v="5606.4"/>
    <n v="19032"/>
    <n v="6240"/>
    <n v="5582"/>
    <n v="4152"/>
    <n v="3300"/>
    <n v="5680"/>
    <n v="1.0131278538812787"/>
    <m/>
    <m/>
    <s v="x"/>
    <m/>
    <m/>
    <m/>
    <m/>
    <s v="ㅇ"/>
    <s v="ㅇ"/>
  </r>
  <r>
    <n v="337"/>
    <x v="338"/>
    <n v="349"/>
    <x v="6"/>
    <n v="9"/>
    <x v="41"/>
    <x v="338"/>
    <s v="금천구 시흥대로 73길 70"/>
    <s v="(주)이맥스시스템"/>
    <n v="10"/>
    <n v="48"/>
    <n v="4.8"/>
    <n v="0.96774193548387089"/>
    <m/>
    <n v="0"/>
    <n v="0"/>
    <n v="7.008"/>
    <m/>
    <s v="-"/>
    <s v="-"/>
    <s v="-"/>
    <s v="-"/>
    <s v="-"/>
    <n v="11680"/>
    <m/>
    <m/>
    <n v="1"/>
    <n v="0.96"/>
    <n v="11212.8"/>
    <n v="0"/>
    <n v="0"/>
    <n v="14632"/>
    <n v="12290"/>
    <n v="8232"/>
    <n v="13090"/>
    <n v="1.1674158105022832"/>
    <m/>
    <m/>
    <s v="x"/>
    <m/>
    <m/>
    <m/>
    <m/>
    <s v="ㅇ"/>
    <s v="ㅇ"/>
  </r>
  <r>
    <n v="341"/>
    <x v="339"/>
    <n v="314"/>
    <x v="6"/>
    <n v="10"/>
    <x v="41"/>
    <x v="339"/>
    <s v="금천구 가산동 안양천변"/>
    <s v="㈜에디슨솔라이텍"/>
    <n v="25"/>
    <n v="111"/>
    <n v="4.4400000000000004"/>
    <n v="0.89516129032258074"/>
    <m/>
    <n v="5"/>
    <n v="40"/>
    <n v="12.52"/>
    <s v="수리비용"/>
    <s v="-"/>
    <s v="-"/>
    <n v="2"/>
    <n v="3"/>
    <s v="-"/>
    <n v="29200"/>
    <m/>
    <m/>
    <n v="1"/>
    <n v="0.96"/>
    <n v="28032"/>
    <n v="25700"/>
    <n v="24208"/>
    <n v="21889"/>
    <n v="22542"/>
    <n v="12063"/>
    <n v="25907"/>
    <n v="0.92419377853881279"/>
    <m/>
    <m/>
    <s v="ㅇ"/>
    <s v="인버터"/>
    <n v="5"/>
    <n v="3"/>
    <m/>
    <s v="x"/>
    <s v="ㅇ"/>
  </r>
  <r>
    <n v="339"/>
    <x v="340"/>
    <n v="300"/>
    <x v="6"/>
    <n v="12"/>
    <x v="41"/>
    <x v="340"/>
    <s v="금천구 독산4동 산199-1번지 일대"/>
    <s v="㈜케이디파워"/>
    <n v="20"/>
    <n v="80"/>
    <n v="4"/>
    <n v="0.80645161290322587"/>
    <m/>
    <n v="1.64"/>
    <n v="16.399999999999999"/>
    <n v="12.375999999999999"/>
    <s v="수리비용"/>
    <s v="-"/>
    <s v="-"/>
    <s v="-"/>
    <n v="1.2549999999999999"/>
    <n v="0.38500000000000001"/>
    <n v="23360"/>
    <m/>
    <m/>
    <n v="1"/>
    <n v="0.96"/>
    <n v="22425.599999999999"/>
    <s v="-"/>
    <s v="-"/>
    <s v="-"/>
    <s v="-"/>
    <n v="13592"/>
    <n v="20300"/>
    <n v="0.90521546803652975"/>
    <m/>
    <m/>
    <s v="ㅇ"/>
    <s v="인버터, 모니터링"/>
    <n v="1.64"/>
    <n v="2"/>
    <m/>
    <s v="ㅇ"/>
    <s v="ㅇ"/>
  </r>
  <r>
    <n v="340"/>
    <x v="341"/>
    <n v="326"/>
    <x v="6"/>
    <n v="12"/>
    <x v="41"/>
    <x v="341"/>
    <s v="금천구 시흥4동 산126-13"/>
    <s v="㈜케이디파워"/>
    <n v="3"/>
    <n v="15"/>
    <n v="5"/>
    <n v="1.0080645161290323"/>
    <m/>
    <n v="0"/>
    <n v="0"/>
    <n v="2.1024000000000003"/>
    <m/>
    <s v="-"/>
    <s v="-"/>
    <s v="-"/>
    <s v="-"/>
    <s v="-"/>
    <n v="3504.0000000000005"/>
    <m/>
    <m/>
    <n v="1"/>
    <n v="0.96"/>
    <n v="3363.84"/>
    <n v="0"/>
    <n v="0"/>
    <s v="-"/>
    <s v="-"/>
    <s v="(누적)23540"/>
    <n v="3160"/>
    <n v="0.93940258751902583"/>
    <m/>
    <m/>
    <s v="x"/>
    <m/>
    <m/>
    <m/>
    <m/>
    <s v="x"/>
    <s v="ㅇ"/>
  </r>
  <r>
    <n v="342"/>
    <x v="342"/>
    <n v="292"/>
    <x v="6"/>
    <n v="3"/>
    <x v="42"/>
    <x v="342"/>
    <s v="동작구 솔밭로 86"/>
    <s v="-"/>
    <n v="20.600999999999999"/>
    <n v="81.510000000000005"/>
    <n v="3.9566040483471681"/>
    <n v="0.79770242910225164"/>
    <m/>
    <n v="0.1"/>
    <n v="0.97082665890005337"/>
    <n v="14.337180799999997"/>
    <s v="수리비용"/>
    <s v="-"/>
    <s v="-"/>
    <s v="-"/>
    <s v="-"/>
    <n v="0.1"/>
    <n v="24061.967999999997"/>
    <m/>
    <m/>
    <n v="1"/>
    <n v="0.96"/>
    <n v="23099.489279999998"/>
    <n v="0"/>
    <n v="0"/>
    <n v="20525"/>
    <n v="26800"/>
    <n v="16833"/>
    <n v="26251"/>
    <n v="1.1364320518864737"/>
    <m/>
    <m/>
    <s v="ㅇ"/>
    <s v="모니터링"/>
    <n v="0.1"/>
    <n v="5"/>
    <m/>
    <s v="ㅇ"/>
    <s v="ㅇ"/>
  </r>
  <r>
    <n v="343"/>
    <x v="343"/>
    <n v="348"/>
    <x v="6"/>
    <n v="5"/>
    <x v="18"/>
    <x v="343"/>
    <s v="관악구 남현동 1086-1"/>
    <s v="㈜이맥스시스템"/>
    <n v="10.4"/>
    <n v="49"/>
    <n v="4.7115384615384617"/>
    <n v="0.94990694789081886"/>
    <m/>
    <n v="0"/>
    <n v="0"/>
    <n v="7.2883199999999997"/>
    <m/>
    <m/>
    <m/>
    <m/>
    <m/>
    <m/>
    <n v="12147.2"/>
    <m/>
    <m/>
    <n v="1"/>
    <n v="0.96"/>
    <n v="11661.312"/>
    <n v="13562"/>
    <n v="14330"/>
    <n v="14350"/>
    <n v="14215"/>
    <n v="8307"/>
    <n v="13537"/>
    <n v="1.1608470813575693"/>
    <m/>
    <m/>
    <s v="x"/>
    <m/>
    <m/>
    <m/>
    <m/>
    <s v="ㅇ"/>
    <s v="ㅇ"/>
  </r>
  <r>
    <n v="344"/>
    <x v="344"/>
    <n v="327"/>
    <x v="6"/>
    <n v="8"/>
    <x v="18"/>
    <x v="344"/>
    <s v="관악구 대학동 1522"/>
    <s v="㈜이맥스시스템"/>
    <n v="10"/>
    <n v="48"/>
    <n v="4.8"/>
    <n v="0.96774193548387089"/>
    <m/>
    <n v="0"/>
    <n v="0"/>
    <n v="7.008"/>
    <m/>
    <s v="-"/>
    <s v="-"/>
    <s v="-"/>
    <s v="-"/>
    <s v="-"/>
    <n v="11680"/>
    <n v="25"/>
    <n v="0"/>
    <n v="0.99199999999999999"/>
    <n v="0.96"/>
    <n v="11123.097599999999"/>
    <n v="12363"/>
    <n v="13836"/>
    <n v="13833"/>
    <n v="11312"/>
    <n v="8980"/>
    <n v="10584"/>
    <n v="0.95153350088378263"/>
    <m/>
    <m/>
    <s v="x"/>
    <m/>
    <m/>
    <m/>
    <m/>
    <s v="ㅇ"/>
    <s v="ㅇ"/>
  </r>
  <r>
    <n v="345"/>
    <x v="345"/>
    <n v="299"/>
    <x v="6"/>
    <n v="12"/>
    <x v="18"/>
    <x v="345"/>
    <s v="관악구 신림동 568-27"/>
    <s v="㈜한국스카다"/>
    <n v="10"/>
    <n v="48"/>
    <n v="4.8"/>
    <n v="0.96774193548387089"/>
    <m/>
    <n v="1.3"/>
    <n v="26.000000000000004"/>
    <n v="5.7080000000000002"/>
    <s v="수리비용"/>
    <m/>
    <m/>
    <m/>
    <m/>
    <n v="1.3"/>
    <n v="11680"/>
    <n v="25"/>
    <n v="38"/>
    <n v="0.96"/>
    <n v="0.96"/>
    <n v="10764.288"/>
    <n v="11785"/>
    <n v="10979"/>
    <n v="11945"/>
    <n v="10706"/>
    <n v="6569"/>
    <n v="10816"/>
    <n v="1.0048040334855404"/>
    <m/>
    <m/>
    <s v="ㅇ"/>
    <s v="인버터"/>
    <n v="1.3"/>
    <n v="64"/>
    <m/>
    <s v="ㅇ"/>
    <s v="ㅇ"/>
  </r>
  <r>
    <n v="346"/>
    <x v="346"/>
    <n v="343"/>
    <x v="6"/>
    <n v="11"/>
    <x v="43"/>
    <x v="346"/>
    <s v="서초구 방배로 173"/>
    <s v="코오롱환경서비스"/>
    <n v="10"/>
    <n v="69"/>
    <n v="6.9"/>
    <n v="1.3911290322580645"/>
    <s v="구조물"/>
    <n v="0"/>
    <n v="0"/>
    <n v="7.008"/>
    <m/>
    <s v="-"/>
    <s v="-"/>
    <s v="-"/>
    <s v="-"/>
    <s v="-"/>
    <n v="11680"/>
    <m/>
    <m/>
    <n v="1"/>
    <n v="0.96"/>
    <n v="11212.8"/>
    <n v="8839.2999999999993"/>
    <n v="11241.8"/>
    <n v="10247.799999999999"/>
    <n v="12740.1"/>
    <n v="7898.1"/>
    <n v="12763"/>
    <n v="1.1382527111872147"/>
    <m/>
    <m/>
    <s v="x"/>
    <m/>
    <m/>
    <m/>
    <m/>
    <s v="ㅇ"/>
    <s v="ㅇ"/>
  </r>
  <r>
    <n v="347"/>
    <x v="347"/>
    <n v="344"/>
    <x v="6"/>
    <n v="12"/>
    <x v="43"/>
    <x v="347"/>
    <s v="서초구 염곡말길 9"/>
    <s v="광명전판"/>
    <n v="10"/>
    <n v="43"/>
    <n v="4.3"/>
    <n v="0.86693548387096775"/>
    <m/>
    <n v="0"/>
    <n v="0"/>
    <n v="7.008"/>
    <m/>
    <s v="-"/>
    <s v="-"/>
    <s v="-"/>
    <s v="-"/>
    <s v="-"/>
    <n v="11680"/>
    <n v="20"/>
    <m/>
    <n v="1"/>
    <n v="0.96"/>
    <n v="11212.8"/>
    <n v="0"/>
    <n v="0"/>
    <s v="-"/>
    <s v="-"/>
    <n v="7232"/>
    <n v="12765"/>
    <n v="1.1384310787671235"/>
    <m/>
    <m/>
    <s v="x"/>
    <m/>
    <m/>
    <m/>
    <m/>
    <s v="ㅇ"/>
    <s v="ㅇ"/>
  </r>
  <r>
    <n v="348"/>
    <x v="348"/>
    <n v="322"/>
    <x v="6"/>
    <n v="8"/>
    <x v="43"/>
    <x v="348"/>
    <s v="서초구 신반포로33길 22"/>
    <s v="㈜한화에너지"/>
    <n v="5.76"/>
    <n v="0"/>
    <n v="0"/>
    <n v="0"/>
    <m/>
    <n v="0"/>
    <n v="0"/>
    <n v="4.0366079999999993"/>
    <m/>
    <s v="-"/>
    <s v="-"/>
    <s v="-"/>
    <s v="-"/>
    <s v="-"/>
    <n v="6727.6799999999994"/>
    <m/>
    <m/>
    <n v="1"/>
    <n v="0.96"/>
    <n v="6458.572799999999"/>
    <n v="5508"/>
    <n v="3513"/>
    <n v="6059"/>
    <n v="5992"/>
    <n v="3686"/>
    <n v="5831"/>
    <n v="0.90283104031900063"/>
    <m/>
    <m/>
    <s v="x"/>
    <m/>
    <m/>
    <m/>
    <m/>
    <s v="ㅇ"/>
    <s v="ㅇ"/>
  </r>
  <r>
    <n v="349"/>
    <x v="349"/>
    <n v="296"/>
    <x v="6"/>
    <n v="6"/>
    <x v="44"/>
    <x v="349"/>
    <s v="강남구 영동대로 65길 24"/>
    <s v="윌링스㈜"/>
    <n v="42"/>
    <n v="166"/>
    <n v="3.9523809523809526"/>
    <n v="0.79685099846390173"/>
    <m/>
    <n v="3.5999999999999996"/>
    <n v="17.142857142857139"/>
    <n v="25.833599999999997"/>
    <s v="안전관리"/>
    <n v="0.72"/>
    <n v="0.72"/>
    <n v="0.72"/>
    <n v="0.72"/>
    <n v="0.72"/>
    <n v="49056"/>
    <m/>
    <m/>
    <n v="1"/>
    <n v="0.96"/>
    <n v="47093.759999999995"/>
    <n v="45321"/>
    <n v="43614"/>
    <n v="44867"/>
    <n v="44863"/>
    <n v="22431"/>
    <n v="44861"/>
    <n v="0.95258904789084597"/>
    <m/>
    <m/>
    <s v="x"/>
    <m/>
    <m/>
    <m/>
    <m/>
    <s v="ㅇ"/>
    <s v="ㅇ"/>
  </r>
  <r>
    <n v="351"/>
    <x v="350"/>
    <n v="306"/>
    <x v="6"/>
    <n v="11"/>
    <x v="45"/>
    <x v="350"/>
    <s v="송파구 충민로2길 20"/>
    <s v="KD파워"/>
    <n v="35.75"/>
    <n v="177"/>
    <n v="4.9510489510489508"/>
    <n v="0.9981953530340627"/>
    <m/>
    <n v="0.8"/>
    <n v="4.4755244755244759"/>
    <n v="24.253599999999999"/>
    <m/>
    <s v="-"/>
    <n v="0.2"/>
    <n v="0.6"/>
    <s v="-"/>
    <s v="-"/>
    <n v="41756"/>
    <n v="10"/>
    <n v="20"/>
    <n v="0.93899999999999995"/>
    <n v="0.96"/>
    <n v="37640.528639999997"/>
    <n v="34638"/>
    <n v="38334"/>
    <n v="38412"/>
    <n v="36444"/>
    <n v="24518"/>
    <n v="36682"/>
    <n v="0.97453466583406634"/>
    <m/>
    <m/>
    <s v="x"/>
    <m/>
    <m/>
    <m/>
    <m/>
    <s v="ㅇ"/>
    <s v="ㅇ"/>
  </r>
  <r>
    <n v="350"/>
    <x v="351"/>
    <n v="356"/>
    <x v="6"/>
    <n v="11"/>
    <x v="45"/>
    <x v="351"/>
    <s v="송파구 성내천로35길 53"/>
    <s v="LG전자㈜"/>
    <n v="3"/>
    <n v="13.3"/>
    <n v="4.4333333333333336"/>
    <n v="0.89381720430107536"/>
    <m/>
    <n v="0"/>
    <n v="0"/>
    <n v="2.1024000000000003"/>
    <m/>
    <s v="-"/>
    <s v="-"/>
    <s v="-"/>
    <n v="0"/>
    <s v="-"/>
    <n v="3504.0000000000005"/>
    <n v="45"/>
    <n v="0"/>
    <n v="0.98599999999999999"/>
    <n v="0.96"/>
    <n v="3316.7462400000004"/>
    <n v="3658"/>
    <n v="2045"/>
    <n v="4700"/>
    <n v="5490"/>
    <n v="2541"/>
    <n v="4279"/>
    <n v="1.2901198012664361"/>
    <m/>
    <m/>
    <s v="x"/>
    <m/>
    <m/>
    <m/>
    <m/>
    <s v="ㅇ"/>
    <s v="ㅇ"/>
  </r>
  <r>
    <n v="354"/>
    <x v="352"/>
    <n v="354"/>
    <x v="6"/>
    <n v="3"/>
    <x v="46"/>
    <x v="352"/>
    <s v="강동구 성내로 45"/>
    <s v="㈜다쓰테크"/>
    <n v="9"/>
    <n v="43"/>
    <n v="4.7777777777777777"/>
    <n v="0.96326164874551967"/>
    <m/>
    <n v="0"/>
    <n v="0"/>
    <n v="6.3071999999999999"/>
    <m/>
    <s v="-"/>
    <s v="-"/>
    <s v="-"/>
    <s v="-"/>
    <s v="-"/>
    <n v="10512"/>
    <n v="20"/>
    <n v="0"/>
    <n v="0.98099999999999998"/>
    <n v="0.96"/>
    <n v="9899.7811199999996"/>
    <n v="10340"/>
    <n v="10876"/>
    <n v="11013"/>
    <n v="9915"/>
    <n v="7184"/>
    <n v="12220"/>
    <n v="1.2343707251580125"/>
    <m/>
    <m/>
    <s v="x"/>
    <m/>
    <m/>
    <m/>
    <m/>
    <s v="ㅇ"/>
    <s v="ㅇ"/>
  </r>
  <r>
    <n v="353"/>
    <x v="353"/>
    <n v="307"/>
    <x v="6"/>
    <n v="12"/>
    <x v="46"/>
    <x v="353"/>
    <s v="강동구 성내로 25"/>
    <s v="㈜다쓰테크"/>
    <n v="71"/>
    <n v="347"/>
    <n v="4.887323943661972"/>
    <n v="0.98534756928668787"/>
    <m/>
    <n v="2.5739999999999998"/>
    <n v="7.2507042253521128"/>
    <n v="47.1828"/>
    <s v="수리비용"/>
    <s v="-"/>
    <n v="1.375"/>
    <s v="-"/>
    <s v="-"/>
    <n v="1.1990000000000001"/>
    <n v="82928"/>
    <m/>
    <m/>
    <n v="1"/>
    <n v="0.96"/>
    <n v="79610.87999999999"/>
    <n v="69476"/>
    <n v="68643"/>
    <n v="73061"/>
    <n v="75248"/>
    <n v="46353"/>
    <n v="75312"/>
    <n v="0.94600135056916856"/>
    <m/>
    <m/>
    <s v="ㅇ"/>
    <s v="인버터"/>
    <n v="2.5739999999999998"/>
    <n v="1"/>
    <m/>
    <s v="ㅇ"/>
    <s v="ㅇ"/>
  </r>
  <r>
    <n v="352"/>
    <x v="354"/>
    <n v="351"/>
    <x v="6"/>
    <n v="12"/>
    <x v="46"/>
    <x v="354"/>
    <s v="강동구 성내로 13(성내동)"/>
    <s v="㈜다쓰테크"/>
    <n v="5"/>
    <n v="21"/>
    <n v="4.2"/>
    <n v="0.84677419354838712"/>
    <m/>
    <n v="0"/>
    <n v="0"/>
    <n v="3.504"/>
    <m/>
    <s v="-"/>
    <s v="-"/>
    <s v="-"/>
    <s v="-"/>
    <s v="-"/>
    <n v="5840"/>
    <m/>
    <m/>
    <n v="1"/>
    <n v="0.96"/>
    <n v="5606.4"/>
    <n v="6340"/>
    <n v="6357"/>
    <n v="6650"/>
    <n v="6750"/>
    <n v="4120"/>
    <n v="6576"/>
    <n v="1.172945205479452"/>
    <m/>
    <m/>
    <s v="x"/>
    <m/>
    <m/>
    <m/>
    <m/>
    <s v="ㅇ"/>
    <s v="ㅇ"/>
  </r>
  <r>
    <n v="355"/>
    <x v="355"/>
    <n v="355"/>
    <x v="6"/>
    <n v="12"/>
    <x v="46"/>
    <x v="355"/>
    <s v="강동구 고덕로24길 49"/>
    <s v="㈜다쓰테크"/>
    <n v="8"/>
    <n v="31"/>
    <n v="3.875"/>
    <n v="0.78125"/>
    <m/>
    <n v="0"/>
    <n v="0"/>
    <n v="5.6063999999999998"/>
    <m/>
    <s v="-"/>
    <s v="-"/>
    <s v="-"/>
    <s v="-"/>
    <s v="-"/>
    <n v="9344"/>
    <m/>
    <m/>
    <n v="1"/>
    <n v="0.96"/>
    <n v="8970.24"/>
    <n v="0"/>
    <s v="-"/>
    <n v="9344"/>
    <n v="9344"/>
    <n v="6934"/>
    <n v="11368"/>
    <n v="1.2673016552511416"/>
    <m/>
    <m/>
    <s v="x"/>
    <m/>
    <m/>
    <m/>
    <m/>
    <s v="ㅇ"/>
    <s v="ㅇ"/>
  </r>
  <r>
    <n v="356"/>
    <x v="356"/>
    <n v="320"/>
    <x v="6"/>
    <n v="12"/>
    <x v="46"/>
    <x v="356"/>
    <s v="구천면로 17길 22"/>
    <s v="㈜다쓰테크"/>
    <n v="8"/>
    <n v="31"/>
    <n v="3.875"/>
    <n v="0.78125"/>
    <m/>
    <n v="0"/>
    <n v="0"/>
    <n v="5.6063999999999998"/>
    <m/>
    <s v="-"/>
    <s v="-"/>
    <s v="-"/>
    <s v="-"/>
    <s v="-"/>
    <n v="9344"/>
    <m/>
    <m/>
    <n v="1"/>
    <n v="0.96"/>
    <n v="8970.24"/>
    <n v="0"/>
    <n v="0"/>
    <n v="9344"/>
    <n v="9344"/>
    <n v="6208"/>
    <n v="7963"/>
    <n v="0.88771314925799094"/>
    <m/>
    <m/>
    <s v="x"/>
    <m/>
    <m/>
    <m/>
    <m/>
    <s v="ㅇ"/>
    <s v="ㅇ"/>
  </r>
  <r>
    <n v="358"/>
    <x v="357"/>
    <n v="422"/>
    <x v="7"/>
    <n v="8"/>
    <x v="69"/>
    <x v="357"/>
    <s v="노원구 덕릉로70가길 98"/>
    <s v="㈜에스피브이"/>
    <n v="39.24"/>
    <n v="159"/>
    <n v="4.0519877675840981"/>
    <n v="0.90790673707911673"/>
    <m/>
    <n v="0"/>
    <n v="0"/>
    <n v="27.499392000000004"/>
    <m/>
    <s v="-"/>
    <s v="-"/>
    <s v="-"/>
    <s v="-"/>
    <s v="-"/>
    <n v="45832.320000000007"/>
    <n v="30"/>
    <n v="0"/>
    <n v="0.999"/>
    <n v="0.96499999999999997"/>
    <n v="44183.960611200004"/>
    <n v="43994.8"/>
    <n v="51299.6"/>
    <n v="51907.9"/>
    <n v="50017.4"/>
    <n v="30908.400000000001"/>
    <n v="49043"/>
    <n v="1.10997292505209"/>
    <m/>
    <m/>
    <s v="x"/>
    <m/>
    <m/>
    <m/>
    <m/>
    <s v="ㅇ"/>
    <s v="ㅇ"/>
  </r>
  <r>
    <n v="357"/>
    <x v="358"/>
    <n v="380"/>
    <x v="7"/>
    <n v="11"/>
    <x v="70"/>
    <x v="358"/>
    <s v="성북구 화랑로 134"/>
    <s v="파워에너텍㈜"/>
    <n v="17"/>
    <n v="75"/>
    <n v="4.4117647058823533"/>
    <n v="0.98851998787415485"/>
    <m/>
    <n v="0"/>
    <n v="0"/>
    <n v="11.913600000000002"/>
    <m/>
    <s v="-"/>
    <s v="-"/>
    <s v="-"/>
    <s v="-"/>
    <s v="-"/>
    <n v="19856.000000000004"/>
    <n v="30"/>
    <n v="32.799999999999997"/>
    <n v="0.97899999999999998"/>
    <n v="0.96499999999999997"/>
    <n v="18758.658160000003"/>
    <n v="5032.5"/>
    <n v="5019.8999999999996"/>
    <n v="5027.7"/>
    <n v="6928.2"/>
    <n v="8850"/>
    <n v="14856"/>
    <n v="0.79195430042422599"/>
    <s v="시설노후"/>
    <s v="모듈 및 인버터 부품노후화"/>
    <s v="x"/>
    <m/>
    <m/>
    <m/>
    <m/>
    <s v="ㅇ"/>
    <s v="ㅇ"/>
  </r>
  <r>
    <n v="359"/>
    <x v="359"/>
    <n v="359"/>
    <x v="7"/>
    <n v="12"/>
    <x v="71"/>
    <x v="359"/>
    <s v="송파구 충민로 99"/>
    <s v="동진전설㈜"/>
    <n v="51.674999999999997"/>
    <n v="139"/>
    <n v="2.6898887276245769"/>
    <n v="0.60270865508056837"/>
    <m/>
    <n v="5.3"/>
    <n v="20.512820512820515"/>
    <n v="30.913839999999997"/>
    <s v="16~18년 안전관리+유지관리 / 19~20년 안전관리"/>
    <n v="1"/>
    <n v="1"/>
    <n v="1"/>
    <n v="1"/>
    <n v="1.3"/>
    <n v="60356.4"/>
    <m/>
    <m/>
    <n v="1"/>
    <n v="0.96499999999999997"/>
    <n v="58243.925999999999"/>
    <n v="57280"/>
    <n v="59015"/>
    <n v="60682"/>
    <n v="54687"/>
    <n v="39548"/>
    <n v="60510"/>
    <n v="1.0389066149146609"/>
    <m/>
    <s v="16~18년, 유지관리+안전관리대행 동시용역, 19년 부터 안전관리대행 용역만 진행"/>
    <s v="x"/>
    <m/>
    <m/>
    <m/>
    <m/>
    <s v="x"/>
    <s v="ㅇ"/>
  </r>
  <r>
    <n v="360"/>
    <x v="360"/>
    <n v="358"/>
    <x v="7"/>
    <n v="12"/>
    <x v="71"/>
    <x v="360"/>
    <s v="동대문구 사가정로 193"/>
    <s v="동진전설㈜"/>
    <n v="74.2"/>
    <n v="175"/>
    <n v="2.3584905660377355"/>
    <n v="0.52845408156794427"/>
    <m/>
    <n v="5.3"/>
    <n v="14.285714285714285"/>
    <n v="46.699360000000006"/>
    <s v="16~18년 안전관리+유지관리 / 19~20년 안전관리"/>
    <n v="1"/>
    <n v="1"/>
    <n v="1"/>
    <n v="1"/>
    <n v="1.3"/>
    <n v="86665.600000000006"/>
    <m/>
    <m/>
    <n v="1"/>
    <n v="0.96499999999999997"/>
    <n v="83632.304000000004"/>
    <n v="78740"/>
    <n v="81006"/>
    <n v="82529"/>
    <n v="75790"/>
    <n v="53329"/>
    <n v="78548"/>
    <n v="0.93920645782997914"/>
    <m/>
    <s v="16~18년, 유지관리+안전관리대행 동시용역, 19년 부터 안전관리대행 용역만 진행"/>
    <s v="x"/>
    <m/>
    <m/>
    <m/>
    <m/>
    <s v="x"/>
    <s v="ㅇ"/>
  </r>
  <r>
    <n v="361"/>
    <x v="361"/>
    <n v="393"/>
    <x v="7"/>
    <n v="3"/>
    <x v="23"/>
    <x v="361"/>
    <s v="중구 예장동 산4-5"/>
    <s v="에이치알티에스㈜"/>
    <n v="20"/>
    <n v="66"/>
    <n v="3.3"/>
    <n v="0.7394129509298677"/>
    <m/>
    <n v="0"/>
    <n v="0"/>
    <n v="14.016"/>
    <m/>
    <s v="-"/>
    <s v="-"/>
    <s v="-"/>
    <s v="-"/>
    <s v="-"/>
    <n v="23360"/>
    <n v="14"/>
    <n v="18"/>
    <n v="0.95899999999999996"/>
    <n v="0.96499999999999997"/>
    <n v="21618.161599999996"/>
    <n v="21010"/>
    <n v="21086"/>
    <n v="21280"/>
    <n v="21860"/>
    <n v="12733"/>
    <n v="20350"/>
    <n v="0.94133813857696413"/>
    <m/>
    <m/>
    <s v="x"/>
    <m/>
    <m/>
    <m/>
    <m/>
    <s v="ㅇ"/>
    <s v="ㅇ"/>
  </r>
  <r>
    <n v="364"/>
    <x v="362"/>
    <n v="407"/>
    <x v="7"/>
    <n v="3"/>
    <x v="49"/>
    <x v="362"/>
    <s v="강북구 미아동 327-2"/>
    <s v="헥스파워시스템"/>
    <n v="9"/>
    <n v="39"/>
    <n v="4.333333333333333"/>
    <n v="0.97094629920083642"/>
    <m/>
    <n v="0"/>
    <n v="0"/>
    <n v="6.3071999999999999"/>
    <m/>
    <s v="-"/>
    <s v="-"/>
    <s v="-"/>
    <s v="-"/>
    <s v="-"/>
    <n v="10512"/>
    <n v="35"/>
    <n v="15"/>
    <n v="0.99"/>
    <n v="0.96499999999999997"/>
    <n v="10042.6392"/>
    <n v="10557"/>
    <n v="11243"/>
    <n v="12927"/>
    <n v="10783"/>
    <n v="6131"/>
    <n v="10350"/>
    <n v="1.0306055802542424"/>
    <m/>
    <m/>
    <s v="x"/>
    <m/>
    <m/>
    <m/>
    <m/>
    <s v="ㅇ"/>
    <s v="ㅇ"/>
  </r>
  <r>
    <n v="362"/>
    <x v="363"/>
    <n v="363"/>
    <x v="7"/>
    <n v="4"/>
    <x v="49"/>
    <x v="363"/>
    <s v="도봉구 창동 362-1"/>
    <s v="이엔에이치㈜"/>
    <n v="9"/>
    <n v="36"/>
    <n v="4"/>
    <n v="0.89625812233923363"/>
    <m/>
    <n v="0.5"/>
    <n v="11.111111111111109"/>
    <n v="5.8071999999999999"/>
    <s v="수리비용"/>
    <s v="-"/>
    <s v="-"/>
    <n v="0.5"/>
    <s v="-"/>
    <s v="-"/>
    <n v="10512"/>
    <n v="30"/>
    <n v="12"/>
    <n v="0.997"/>
    <n v="0.96499999999999997"/>
    <n v="10113.64776"/>
    <n v="7694"/>
    <n v="8920"/>
    <n v="8742"/>
    <n v="9276"/>
    <n v="6368"/>
    <n v="10688"/>
    <n v="1.0567898204119381"/>
    <m/>
    <m/>
    <s v="ㅇ"/>
    <s v="인버터"/>
    <n v="0.5"/>
    <n v="1"/>
    <m/>
    <s v="ㅇ"/>
    <s v="ㅇ"/>
  </r>
  <r>
    <n v="369"/>
    <x v="364"/>
    <n v="390"/>
    <x v="7"/>
    <n v="5"/>
    <x v="49"/>
    <x v="364"/>
    <s v="송파구 석촌호수로 151"/>
    <s v="㈜베스텍"/>
    <n v="9"/>
    <n v="39.6"/>
    <n v="4.4000000000000004"/>
    <n v="0.98588393457315715"/>
    <m/>
    <n v="0"/>
    <n v="0"/>
    <n v="6.3071999999999999"/>
    <m/>
    <s v="-"/>
    <s v="-"/>
    <s v="-"/>
    <s v="-"/>
    <s v="-"/>
    <n v="10512"/>
    <n v="25"/>
    <n v="20"/>
    <n v="0.98499999999999999"/>
    <n v="0.96499999999999997"/>
    <n v="9991.9187999999995"/>
    <n v="12000"/>
    <n v="12654"/>
    <n v="12529"/>
    <n v="10859"/>
    <n v="8610"/>
    <n v="9331"/>
    <n v="0.93385466663319971"/>
    <m/>
    <m/>
    <s v="x"/>
    <m/>
    <m/>
    <m/>
    <m/>
    <s v="ㅇ"/>
    <s v="ㅇ"/>
  </r>
  <r>
    <n v="363"/>
    <x v="365"/>
    <n v="416"/>
    <x v="7"/>
    <n v="6"/>
    <x v="49"/>
    <x v="365"/>
    <s v="강서구 개화동산로19길 8"/>
    <s v="㈜베스텍"/>
    <n v="9"/>
    <n v="39"/>
    <n v="4.333333333333333"/>
    <n v="0.97094629920083642"/>
    <m/>
    <n v="0"/>
    <n v="0"/>
    <n v="6.3071999999999999"/>
    <m/>
    <s v="-"/>
    <s v="-"/>
    <s v="-"/>
    <s v="-"/>
    <s v="-"/>
    <n v="10512"/>
    <n v="15"/>
    <n v="-20"/>
    <n v="0.95899999999999996"/>
    <n v="0.96499999999999997"/>
    <n v="9728.1727199999987"/>
    <n v="11935"/>
    <n v="12246"/>
    <n v="11243"/>
    <n v="11016"/>
    <n v="6996"/>
    <n v="10514"/>
    <n v="1.0807785082171117"/>
    <m/>
    <m/>
    <s v="x"/>
    <m/>
    <m/>
    <m/>
    <m/>
    <s v="ㅇ"/>
    <s v="ㅇ"/>
  </r>
  <r>
    <n v="365"/>
    <x v="366"/>
    <n v="418"/>
    <x v="7"/>
    <n v="6"/>
    <x v="49"/>
    <x v="366"/>
    <s v="동작구 사당로 63"/>
    <s v="베스텍"/>
    <n v="6"/>
    <n v="26"/>
    <n v="4.333333333333333"/>
    <n v="0.97094629920083642"/>
    <m/>
    <n v="0"/>
    <n v="0"/>
    <n v="4.2048000000000005"/>
    <m/>
    <s v="-"/>
    <s v="-"/>
    <s v="-"/>
    <s v="-"/>
    <s v="-"/>
    <n v="7008.0000000000009"/>
    <n v="15"/>
    <n v="-40"/>
    <n v="0.94299999999999995"/>
    <n v="0.96499999999999997"/>
    <n v="6377.24496"/>
    <n v="7910"/>
    <n v="5274"/>
    <n v="8323"/>
    <n v="6800"/>
    <n v="3856"/>
    <n v="7021.16"/>
    <n v="1.1009707238845032"/>
    <m/>
    <m/>
    <s v="x"/>
    <m/>
    <m/>
    <m/>
    <m/>
    <s v="ㅇ"/>
    <s v="ㅇ"/>
  </r>
  <r>
    <n v="366"/>
    <x v="367"/>
    <n v="397"/>
    <x v="7"/>
    <n v="7"/>
    <x v="49"/>
    <x v="367"/>
    <s v="구로구 오리로 1285"/>
    <s v="㈜베스텍"/>
    <n v="9"/>
    <n v="39"/>
    <n v="4.333333333333333"/>
    <n v="0.97094629920083642"/>
    <m/>
    <n v="0"/>
    <n v="0"/>
    <n v="6.3071999999999999"/>
    <m/>
    <s v="-"/>
    <s v="-"/>
    <s v="-"/>
    <s v="-"/>
    <s v="-"/>
    <n v="10512"/>
    <n v="0"/>
    <n v="-10"/>
    <n v="0.88400000000000001"/>
    <n v="0.96499999999999997"/>
    <n v="8967.36672"/>
    <n v="12240"/>
    <n v="13320"/>
    <n v="9360"/>
    <n v="9720"/>
    <n v="7435"/>
    <n v="8681"/>
    <n v="0.96806568428150552"/>
    <m/>
    <m/>
    <s v="x"/>
    <m/>
    <m/>
    <m/>
    <m/>
    <s v="ㅇ"/>
    <s v="ㅇ"/>
  </r>
  <r>
    <n v="367"/>
    <x v="368"/>
    <n v="398"/>
    <x v="7"/>
    <n v="7"/>
    <x v="49"/>
    <x v="368"/>
    <s v="양천구 신월로 268"/>
    <s v="㈜유니테스트"/>
    <n v="12"/>
    <n v="50"/>
    <n v="4.166666666666667"/>
    <n v="0.93360221077003513"/>
    <m/>
    <n v="0"/>
    <n v="0"/>
    <n v="8.4096000000000011"/>
    <m/>
    <s v="-"/>
    <s v="-"/>
    <s v="-"/>
    <s v="-"/>
    <s v="-"/>
    <n v="14016.000000000002"/>
    <n v="20"/>
    <n v="40"/>
    <n v="0.95499999999999996"/>
    <n v="0.96499999999999997"/>
    <n v="12916.7952"/>
    <n v="13988"/>
    <n v="13571"/>
    <n v="14615"/>
    <n v="14181"/>
    <n v="8062"/>
    <n v="12528"/>
    <n v="0.96990002597548342"/>
    <m/>
    <m/>
    <s v="x"/>
    <m/>
    <m/>
    <m/>
    <m/>
    <s v="ㅇ"/>
    <s v="ㅇ"/>
  </r>
  <r>
    <n v="368"/>
    <x v="369"/>
    <n v="391"/>
    <x v="7"/>
    <n v="7"/>
    <x v="49"/>
    <x v="369"/>
    <s v="서초구 동산로 9"/>
    <s v="㈜베스텍"/>
    <n v="9"/>
    <n v="37"/>
    <n v="4.1111111111111107"/>
    <n v="0.92115418129310123"/>
    <m/>
    <n v="0"/>
    <n v="0"/>
    <n v="6.3071999999999999"/>
    <m/>
    <s v="-"/>
    <s v="-"/>
    <s v="-"/>
    <s v="-"/>
    <s v="-"/>
    <n v="10512"/>
    <n v="15"/>
    <n v="-40"/>
    <n v="0.94299999999999995"/>
    <n v="0.96499999999999997"/>
    <n v="9565.8674399999982"/>
    <n v="9362"/>
    <n v="11016"/>
    <n v="11025"/>
    <n v="11080"/>
    <n v="4278"/>
    <n v="8978"/>
    <n v="0.93854530771126821"/>
    <m/>
    <m/>
    <s v="x"/>
    <m/>
    <m/>
    <m/>
    <m/>
    <s v="ㅇ"/>
    <s v="ㅇ"/>
  </r>
  <r>
    <n v="370"/>
    <x v="370"/>
    <n v="392"/>
    <x v="7"/>
    <n v="3"/>
    <x v="49"/>
    <x v="370"/>
    <s v="도봉구 노해로 152"/>
    <s v="풍성기전㈜"/>
    <n v="5"/>
    <n v="19"/>
    <n v="3.8"/>
    <n v="0.85144521622227198"/>
    <m/>
    <n v="0"/>
    <n v="0"/>
    <n v="3.504"/>
    <m/>
    <s v="-"/>
    <s v="-"/>
    <s v="-"/>
    <s v="-"/>
    <s v="-"/>
    <n v="5840"/>
    <n v="10"/>
    <n v="0"/>
    <n v="0.94199999999999995"/>
    <n v="0.96499999999999997"/>
    <n v="5308.7351999999992"/>
    <n v="4058"/>
    <n v="6920"/>
    <n v="7258"/>
    <n v="4058"/>
    <n v="2367"/>
    <n v="4987"/>
    <n v="0.93939513125461616"/>
    <m/>
    <m/>
    <s v="x"/>
    <m/>
    <m/>
    <m/>
    <m/>
    <s v="ㅇ"/>
    <s v="ㅇ"/>
  </r>
  <r>
    <n v="371"/>
    <x v="371"/>
    <n v="360"/>
    <x v="7"/>
    <n v="7"/>
    <x v="50"/>
    <x v="371"/>
    <s v="동대문구 서울시립대로 163"/>
    <s v="㈜비앤엠"/>
    <n v="41"/>
    <n v="176.809"/>
    <n v="4.3124146341463412"/>
    <n v="0.9662591606870583"/>
    <m/>
    <n v="0"/>
    <n v="0"/>
    <n v="28.732800000000005"/>
    <m/>
    <s v="-"/>
    <s v="-"/>
    <s v="-"/>
    <s v="-"/>
    <s v="-"/>
    <n v="47888.000000000007"/>
    <m/>
    <m/>
    <n v="1"/>
    <n v="0.96499999999999997"/>
    <n v="46211.920000000006"/>
    <n v="46881"/>
    <n v="48101"/>
    <n v="52032"/>
    <n v="42029"/>
    <n v="33541"/>
    <n v="49393"/>
    <n v="1.068836784968034"/>
    <m/>
    <m/>
    <s v="ㅇ"/>
    <s v="인버터"/>
    <n v="3.2"/>
    <n v="1"/>
    <m/>
    <s v="ㅇ"/>
    <s v="ㅇ"/>
  </r>
  <r>
    <n v="372"/>
    <x v="372"/>
    <n v="369"/>
    <x v="7"/>
    <n v="2"/>
    <x v="26"/>
    <x v="372"/>
    <s v="서초구 신반포로11길"/>
    <s v="㈜에너솔라"/>
    <n v="15"/>
    <n v="67"/>
    <n v="4.4666666666666668"/>
    <n v="1.0008215699454777"/>
    <m/>
    <n v="1"/>
    <n v="13.333333333333332"/>
    <n v="9.5120000000000005"/>
    <s v="수리비용"/>
    <s v="-"/>
    <s v="-"/>
    <s v="-"/>
    <s v="-"/>
    <n v="1"/>
    <n v="17520"/>
    <m/>
    <m/>
    <n v="1"/>
    <n v="0.96499999999999997"/>
    <n v="16906.8"/>
    <n v="0"/>
    <n v="0"/>
    <s v="-"/>
    <n v="7259"/>
    <n v="9051"/>
    <n v="18870"/>
    <n v="1.1161189580523814"/>
    <m/>
    <m/>
    <s v="ㅇ"/>
    <s v="인버터"/>
    <n v="1"/>
    <n v="24"/>
    <m/>
    <s v="ㅇ"/>
    <s v="ㅇ"/>
  </r>
  <r>
    <n v="374"/>
    <x v="373"/>
    <n v="424"/>
    <x v="7"/>
    <n v="2"/>
    <x v="26"/>
    <x v="373"/>
    <s v="영등포구 여의동산로 48"/>
    <s v="㈜케이디파워"/>
    <n v="15"/>
    <n v="67"/>
    <n v="4.4666666666666668"/>
    <n v="1.0008215699454777"/>
    <m/>
    <n v="0"/>
    <n v="0"/>
    <n v="10.512"/>
    <m/>
    <s v="-"/>
    <s v="-"/>
    <s v="-"/>
    <s v="-"/>
    <s v="-"/>
    <n v="17520"/>
    <m/>
    <m/>
    <n v="1"/>
    <n v="0.96499999999999997"/>
    <n v="16906.8"/>
    <n v="20697"/>
    <n v="21800"/>
    <n v="21828"/>
    <n v="20808"/>
    <n v="13504"/>
    <n v="18920"/>
    <n v="1.1190763479783283"/>
    <m/>
    <m/>
    <s v="x"/>
    <m/>
    <m/>
    <m/>
    <m/>
    <s v="ㅇ"/>
    <s v="ㅇ"/>
  </r>
  <r>
    <n v="375"/>
    <x v="374"/>
    <n v="401"/>
    <x v="7"/>
    <n v="2"/>
    <x v="26"/>
    <x v="374"/>
    <s v="영등포구 여의동산로 330"/>
    <s v="삼광산전"/>
    <n v="15"/>
    <n v="67"/>
    <n v="4.4666666666666668"/>
    <n v="1.0008215699454777"/>
    <m/>
    <n v="0"/>
    <n v="0"/>
    <n v="10.512"/>
    <m/>
    <s v="-"/>
    <s v="-"/>
    <s v="-"/>
    <s v="-"/>
    <s v="-"/>
    <n v="17520"/>
    <m/>
    <m/>
    <n v="1"/>
    <n v="0.96499999999999997"/>
    <n v="16906.8"/>
    <n v="14513"/>
    <n v="14015"/>
    <n v="17060"/>
    <n v="17058"/>
    <n v="11243"/>
    <n v="16732"/>
    <n v="0.98966096481888943"/>
    <m/>
    <m/>
    <s v="x"/>
    <m/>
    <m/>
    <m/>
    <m/>
    <s v="ㅇ"/>
    <s v="ㅇ"/>
  </r>
  <r>
    <n v="373"/>
    <x v="375"/>
    <n v="433"/>
    <x v="7"/>
    <n v="12"/>
    <x v="26"/>
    <x v="375"/>
    <s v="김포시 고촌면 신곡리 1051"/>
    <s v="(주)대연씨앤아이"/>
    <n v="5"/>
    <n v="21"/>
    <n v="4.2"/>
    <n v="0.94107102845619539"/>
    <m/>
    <n v="0"/>
    <n v="0"/>
    <n v="3.504"/>
    <m/>
    <s v="-"/>
    <s v="-"/>
    <s v="-"/>
    <s v="-"/>
    <s v="-"/>
    <n v="5840"/>
    <m/>
    <m/>
    <n v="1"/>
    <n v="0.96499999999999997"/>
    <n v="5635.5999999999995"/>
    <n v="6392"/>
    <n v="7691"/>
    <n v="7704"/>
    <n v="7900"/>
    <n v="4329"/>
    <n v="7600"/>
    <n v="1.3485698062318121"/>
    <m/>
    <m/>
    <s v="x"/>
    <m/>
    <m/>
    <m/>
    <m/>
    <s v="ㅇ"/>
    <s v="ㅇ"/>
  </r>
  <r>
    <n v="376"/>
    <x v="376"/>
    <n v="432"/>
    <x v="7"/>
    <n v="12"/>
    <x v="26"/>
    <x v="376"/>
    <s v="광진구 자양동 701"/>
    <s v="(주)대연씨앤아이"/>
    <n v="5"/>
    <n v="21"/>
    <n v="4.2"/>
    <n v="0.94107102845619539"/>
    <m/>
    <n v="0"/>
    <n v="0"/>
    <n v="3.504"/>
    <m/>
    <s v="-"/>
    <s v="-"/>
    <s v="-"/>
    <s v="-"/>
    <s v="-"/>
    <n v="5840"/>
    <m/>
    <m/>
    <n v="1"/>
    <n v="0.96499999999999997"/>
    <n v="5635.5999999999995"/>
    <n v="0"/>
    <n v="6903"/>
    <n v="3555"/>
    <n v="6808"/>
    <n v="3357"/>
    <n v="7020"/>
    <n v="1.2456526368088581"/>
    <m/>
    <m/>
    <s v="x"/>
    <m/>
    <m/>
    <m/>
    <m/>
    <s v="ㅇ"/>
    <s v="ㅇ"/>
  </r>
  <r>
    <n v="377"/>
    <x v="377"/>
    <n v="370"/>
    <x v="7"/>
    <n v="8"/>
    <x v="27"/>
    <x v="377"/>
    <s v="양천구 안양천로 939"/>
    <s v="케이디파워㈜"/>
    <n v="43.4"/>
    <n v="166"/>
    <n v="3.8248847926267282"/>
    <n v="0.85702101560088018"/>
    <s v="BIPV"/>
    <n v="1.9"/>
    <n v="8.7557603686635943"/>
    <n v="28.514720000000001"/>
    <s v="수리비용"/>
    <s v="-"/>
    <s v="-"/>
    <s v="-"/>
    <n v="1.9"/>
    <s v="-"/>
    <n v="50691.199999999997"/>
    <n v="90"/>
    <n v="90"/>
    <n v="0.68300000000000005"/>
    <n v="0.96499999999999997"/>
    <n v="33410.316463999996"/>
    <n v="30583"/>
    <n v="28981"/>
    <n v="27230"/>
    <n v="26890"/>
    <n v="15960"/>
    <n v="26752.000000000004"/>
    <n v="0.80071076336034097"/>
    <m/>
    <s v="건물 외벽에 수직으로 설치되어 있어 (입사각이 나쁨)"/>
    <s v="ㅇ"/>
    <s v="인버터"/>
    <n v="1.9"/>
    <n v="10"/>
    <m/>
    <s v="ㅇ"/>
    <s v="ㅇ"/>
  </r>
  <r>
    <n v="378"/>
    <x v="378"/>
    <n v="377"/>
    <x v="7"/>
    <n v="7"/>
    <x v="31"/>
    <x v="378"/>
    <s v="송파구 양재대로 932"/>
    <s v="에디슨솔라이텍㈜"/>
    <n v="30"/>
    <n v="135"/>
    <n v="4.5"/>
    <n v="1.0082903876316378"/>
    <m/>
    <n v="0.18099999999999999"/>
    <n v="1.2066666666666666"/>
    <n v="20.843"/>
    <m/>
    <s v="-"/>
    <n v="0.18099999999999999"/>
    <s v="-"/>
    <s v="-"/>
    <s v="-"/>
    <n v="35040"/>
    <m/>
    <m/>
    <n v="1"/>
    <n v="0.96499999999999997"/>
    <n v="33813.599999999999"/>
    <n v="37632"/>
    <n v="39937"/>
    <n v="39227"/>
    <n v="37070"/>
    <n v="23647"/>
    <n v="38142"/>
    <n v="1.128007665554688"/>
    <m/>
    <m/>
    <s v="x"/>
    <m/>
    <m/>
    <m/>
    <m/>
    <s v="ㅇ"/>
    <s v="ㅇ"/>
  </r>
  <r>
    <n v="379"/>
    <x v="379"/>
    <n v="428"/>
    <x v="7"/>
    <n v="10"/>
    <x v="6"/>
    <x v="379"/>
    <s v="서대문구 독립문공원길 17"/>
    <s v="㈜대연씨앤아이"/>
    <n v="40"/>
    <n v="99"/>
    <n v="2.4750000000000001"/>
    <n v="0.55455971319740083"/>
    <m/>
    <n v="0"/>
    <n v="0"/>
    <n v="28.032"/>
    <m/>
    <s v="-"/>
    <s v="-"/>
    <s v="-"/>
    <s v="-"/>
    <s v="-"/>
    <n v="46720"/>
    <m/>
    <m/>
    <n v="1"/>
    <n v="0.96499999999999997"/>
    <n v="45084.799999999996"/>
    <n v="50642"/>
    <n v="52678"/>
    <n v="52637"/>
    <n v="42234"/>
    <n v="28818"/>
    <n v="51204"/>
    <n v="1.1357264532614098"/>
    <m/>
    <m/>
    <s v="x"/>
    <m/>
    <m/>
    <m/>
    <m/>
    <s v="ㅇ"/>
    <s v="ㅇ"/>
  </r>
  <r>
    <n v="380"/>
    <x v="380"/>
    <n v="431"/>
    <x v="7"/>
    <n v="10"/>
    <x v="6"/>
    <x v="380"/>
    <s v="동작구 상도동 만양로 26"/>
    <s v="㈜대연씨앤아이"/>
    <n v="20"/>
    <n v="49"/>
    <n v="2.4500000000000002"/>
    <n v="0.54895809993278066"/>
    <m/>
    <n v="0"/>
    <n v="0"/>
    <n v="14.016"/>
    <m/>
    <s v="-"/>
    <s v="-"/>
    <s v="-"/>
    <s v="-"/>
    <s v="-"/>
    <n v="23360"/>
    <m/>
    <m/>
    <n v="1"/>
    <n v="0.96499999999999997"/>
    <n v="22542.399999999998"/>
    <n v="23244"/>
    <n v="30010"/>
    <n v="28349"/>
    <n v="20511"/>
    <n v="16520"/>
    <n v="26460"/>
    <n v="1.1737880616083471"/>
    <m/>
    <m/>
    <s v="x"/>
    <m/>
    <m/>
    <m/>
    <m/>
    <s v="ㅇ"/>
    <s v="ㅇ"/>
  </r>
  <r>
    <n v="381"/>
    <x v="381"/>
    <n v="427"/>
    <x v="7"/>
    <n v="10"/>
    <x v="6"/>
    <x v="381"/>
    <s v="노원구 한글비석로 6"/>
    <s v="㈜대연씨앤아이"/>
    <n v="20"/>
    <n v="49"/>
    <n v="2.4500000000000002"/>
    <n v="0.54895809993278066"/>
    <m/>
    <n v="0"/>
    <n v="0"/>
    <n v="14.016"/>
    <m/>
    <s v="-"/>
    <s v="-"/>
    <s v="-"/>
    <s v="-"/>
    <s v="-"/>
    <n v="23360"/>
    <m/>
    <m/>
    <n v="1"/>
    <n v="0.96499999999999997"/>
    <n v="22542.399999999998"/>
    <n v="25488"/>
    <n v="26456"/>
    <n v="26573"/>
    <n v="25351"/>
    <n v="15659"/>
    <n v="25500"/>
    <n v="1.1312016466747108"/>
    <m/>
    <m/>
    <s v="x"/>
    <m/>
    <m/>
    <m/>
    <m/>
    <s v="ㅇ"/>
    <s v="ㅇ"/>
  </r>
  <r>
    <n v="382"/>
    <x v="382"/>
    <n v="400"/>
    <x v="7"/>
    <n v="12"/>
    <x v="6"/>
    <x v="382"/>
    <s v="구로구 천왕로 50"/>
    <s v="중양산업건설㈜"/>
    <n v="5"/>
    <n v="13"/>
    <n v="2.6"/>
    <n v="0.58256777952050187"/>
    <m/>
    <n v="0"/>
    <n v="0"/>
    <n v="3.504"/>
    <m/>
    <s v="-"/>
    <s v="-"/>
    <s v="-"/>
    <s v="-"/>
    <s v="-"/>
    <n v="5840"/>
    <m/>
    <m/>
    <n v="1"/>
    <n v="0.96499999999999997"/>
    <n v="5635.5999999999995"/>
    <n v="0"/>
    <n v="0"/>
    <s v="-"/>
    <s v="-"/>
    <s v="(누적)38,509"/>
    <n v="5569"/>
    <n v="0.98818226985591606"/>
    <m/>
    <m/>
    <s v="x"/>
    <m/>
    <m/>
    <m/>
    <m/>
    <s v="ㅇ"/>
    <s v="ㅇ"/>
  </r>
  <r>
    <n v="383"/>
    <x v="383"/>
    <n v="366"/>
    <x v="7"/>
    <n v="5"/>
    <x v="33"/>
    <x v="383"/>
    <s v="종로구 통일로14길 30"/>
    <s v="파워에너텍㈜ "/>
    <n v="3"/>
    <n v="13"/>
    <n v="4.333333333333333"/>
    <n v="0.97094629920083642"/>
    <m/>
    <n v="0.7"/>
    <n v="46.666666666666664"/>
    <n v="1.4024000000000003"/>
    <s v="수리비용"/>
    <s v="-"/>
    <s v="-"/>
    <n v="0.7"/>
    <s v="-"/>
    <s v="-"/>
    <n v="3504.0000000000005"/>
    <m/>
    <m/>
    <n v="1"/>
    <n v="0.96499999999999997"/>
    <n v="3381.36"/>
    <n v="0"/>
    <n v="0"/>
    <n v="3148"/>
    <n v="3490"/>
    <n v="1156"/>
    <n v="3170.0183150183148"/>
    <n v="0.93749802299025087"/>
    <m/>
    <m/>
    <s v="ㅇ"/>
    <s v="인버터"/>
    <n v="0.7"/>
    <n v="1"/>
    <m/>
    <s v="ㅇ"/>
    <s v="ㅇ"/>
  </r>
  <r>
    <n v="384"/>
    <x v="384"/>
    <n v="383"/>
    <x v="7"/>
    <n v="6"/>
    <x v="54"/>
    <x v="384"/>
    <s v="중구 을지로 227"/>
    <s v="㈜에너솔라"/>
    <n v="28.5"/>
    <n v="128"/>
    <n v="4.4912280701754383"/>
    <n v="1.0063249092931745"/>
    <m/>
    <n v="0"/>
    <n v="0"/>
    <n v="19.972799999999999"/>
    <m/>
    <s v="-"/>
    <s v="-"/>
    <s v="-"/>
    <s v="-"/>
    <s v="-"/>
    <n v="33288"/>
    <m/>
    <m/>
    <n v="1"/>
    <n v="0.96499999999999997"/>
    <n v="32122.92"/>
    <n v="31122.2"/>
    <n v="36780"/>
    <n v="33127"/>
    <n v="29153"/>
    <n v="19277"/>
    <n v="28375"/>
    <n v="0.88332567524994621"/>
    <m/>
    <m/>
    <s v="x"/>
    <m/>
    <m/>
    <m/>
    <m/>
    <s v="ㅇ"/>
    <s v="ㅇ"/>
  </r>
  <r>
    <n v="388"/>
    <x v="385"/>
    <n v="386"/>
    <x v="7"/>
    <n v="2"/>
    <x v="55"/>
    <x v="385"/>
    <s v="성동구 고산자로 270"/>
    <s v="현대SWD산업"/>
    <n v="15.39"/>
    <n v="61"/>
    <n v="3.9636127355425601"/>
    <n v="0.88810502700931215"/>
    <m/>
    <n v="0"/>
    <n v="0"/>
    <n v="10.785311999999999"/>
    <m/>
    <s v="-"/>
    <s v="-"/>
    <s v="-"/>
    <s v="-"/>
    <s v="-"/>
    <n v="17975.52"/>
    <m/>
    <m/>
    <n v="1"/>
    <n v="0.96499999999999997"/>
    <n v="17346.376799999998"/>
    <n v="18296"/>
    <n v="19471"/>
    <n v="17987"/>
    <n v="16639"/>
    <n v="9437"/>
    <n v="16037"/>
    <n v="0.92451583318540631"/>
    <m/>
    <m/>
    <s v="x"/>
    <m/>
    <m/>
    <m/>
    <m/>
    <s v="ㅇ"/>
    <s v="ㅇ"/>
  </r>
  <r>
    <n v="385"/>
    <x v="386"/>
    <n v="420"/>
    <x v="7"/>
    <n v="12"/>
    <x v="55"/>
    <x v="386"/>
    <s v="성동구 금호로172-1"/>
    <s v="영동테크원㈜"/>
    <n v="5"/>
    <n v="17"/>
    <n v="3.4"/>
    <n v="0.76181940398834858"/>
    <m/>
    <n v="0"/>
    <n v="0"/>
    <n v="3.504"/>
    <m/>
    <s v="-"/>
    <s v="-"/>
    <s v="-"/>
    <s v="-"/>
    <s v="-"/>
    <n v="5840"/>
    <m/>
    <m/>
    <n v="1"/>
    <n v="0.96499999999999997"/>
    <n v="5635.5999999999995"/>
    <n v="6320"/>
    <n v="0"/>
    <s v="-"/>
    <s v="-"/>
    <n v="3879"/>
    <n v="6222"/>
    <n v="1.1040528071545179"/>
    <m/>
    <m/>
    <s v="x"/>
    <m/>
    <m/>
    <m/>
    <m/>
    <s v="ㅇ"/>
    <s v="ㅇ"/>
  </r>
  <r>
    <n v="386"/>
    <x v="387"/>
    <n v="387"/>
    <x v="7"/>
    <n v="12"/>
    <x v="55"/>
    <x v="387"/>
    <s v="성동구 뚝섬로1길 2"/>
    <s v="영동테크윈㈜"/>
    <n v="5"/>
    <n v="17"/>
    <n v="3.4"/>
    <n v="0.76181940398834858"/>
    <m/>
    <n v="0"/>
    <n v="0"/>
    <n v="3.504"/>
    <m/>
    <s v="-"/>
    <s v="-"/>
    <s v="-"/>
    <s v="-"/>
    <s v="-"/>
    <n v="5840"/>
    <m/>
    <m/>
    <n v="1"/>
    <n v="0.96499999999999997"/>
    <n v="5635.5999999999995"/>
    <n v="0"/>
    <n v="0"/>
    <s v="-"/>
    <s v="-"/>
    <s v="(누적)32620"/>
    <n v="5211"/>
    <n v="0.92465753424657549"/>
    <m/>
    <s v="20년 통합모니터링 부착으로 정확한 발전량 표기가 어려움"/>
    <s v="x"/>
    <m/>
    <m/>
    <m/>
    <m/>
    <s v="ㅇ"/>
    <s v="ㅇ"/>
  </r>
  <r>
    <n v="387"/>
    <x v="388"/>
    <n v="425"/>
    <x v="7"/>
    <n v="12"/>
    <x v="55"/>
    <x v="388"/>
    <s v="성동구 왕십리로16길 6"/>
    <s v="영동테크윈㈜"/>
    <n v="5"/>
    <n v="17"/>
    <n v="3.4"/>
    <n v="0.76181940398834858"/>
    <m/>
    <n v="0"/>
    <n v="0"/>
    <n v="3.504"/>
    <m/>
    <s v="-"/>
    <s v="-"/>
    <s v="-"/>
    <s v="-"/>
    <s v="-"/>
    <n v="5840"/>
    <m/>
    <m/>
    <n v="1"/>
    <n v="0.96499999999999997"/>
    <n v="5635.5999999999995"/>
    <n v="0"/>
    <n v="0"/>
    <s v="-"/>
    <s v="-"/>
    <n v="3948"/>
    <n v="6331"/>
    <n v="1.123394137270211"/>
    <m/>
    <m/>
    <s v="x"/>
    <m/>
    <m/>
    <m/>
    <m/>
    <s v="ㅇ"/>
    <s v="ㅇ"/>
  </r>
  <r>
    <n v="389"/>
    <x v="389"/>
    <n v="414"/>
    <x v="7"/>
    <n v="12"/>
    <x v="55"/>
    <x v="389"/>
    <s v="성동구 성수동1가 271-2"/>
    <s v="영동테크원㈜"/>
    <n v="3"/>
    <n v="10"/>
    <n v="3.3333333333333335"/>
    <n v="0.74688176861602806"/>
    <m/>
    <n v="0"/>
    <n v="0"/>
    <n v="2.1024000000000003"/>
    <m/>
    <s v="-"/>
    <s v="-"/>
    <s v="-"/>
    <s v="-"/>
    <s v="-"/>
    <n v="3504.0000000000005"/>
    <m/>
    <m/>
    <n v="1"/>
    <n v="0.96499999999999997"/>
    <n v="3381.36"/>
    <n v="0"/>
    <n v="0"/>
    <s v="-"/>
    <s v="-"/>
    <n v="2254"/>
    <n v="3615.24"/>
    <n v="1.0691674355880474"/>
    <m/>
    <m/>
    <s v="x"/>
    <m/>
    <m/>
    <m/>
    <m/>
    <s v="ㅇ"/>
    <s v="ㅇ"/>
  </r>
  <r>
    <n v="393"/>
    <x v="390"/>
    <n v="374"/>
    <x v="7"/>
    <n v="3"/>
    <x v="35"/>
    <x v="390"/>
    <s v="동대문구 서울시립대로4길 75 (답십리동 474-5)"/>
    <s v="삼광산전"/>
    <n v="26"/>
    <n v="120"/>
    <n v="4.615384615384615"/>
    <n v="1.0341439873145004"/>
    <m/>
    <n v="3.637"/>
    <n v="27.976923076923075"/>
    <n v="14.5838"/>
    <s v="안전관리"/>
    <s v="-"/>
    <n v="0.93700000000000006"/>
    <n v="0.9"/>
    <n v="0.9"/>
    <n v="0.9"/>
    <n v="30368"/>
    <m/>
    <n v="35"/>
    <n v="0.96299999999999997"/>
    <n v="0.96499999999999997"/>
    <n v="28220.830559999999"/>
    <n v="28682"/>
    <n v="26613"/>
    <n v="22850"/>
    <n v="24748"/>
    <n v="18084"/>
    <n v="27206"/>
    <n v="0.96403966361505988"/>
    <m/>
    <m/>
    <s v="ㅇ"/>
    <s v="접속반"/>
    <n v="0.2"/>
    <n v="30"/>
    <m/>
    <s v="ㅇ"/>
    <s v="ㅇ"/>
  </r>
  <r>
    <n v="392"/>
    <x v="391"/>
    <n v="426"/>
    <x v="7"/>
    <n v="8"/>
    <x v="35"/>
    <x v="391"/>
    <s v="동대문구 한천로11길 18 (답십리동 10-2)"/>
    <s v="(주)대연씨앤아이"/>
    <n v="10"/>
    <n v="42"/>
    <n v="4.2"/>
    <n v="0.94107102845619539"/>
    <m/>
    <n v="0"/>
    <n v="0"/>
    <n v="7.008"/>
    <m/>
    <s v="-"/>
    <s v="-"/>
    <s v="-"/>
    <s v="-"/>
    <s v="-"/>
    <n v="11680"/>
    <n v="20"/>
    <n v="-15"/>
    <n v="0.97399999999999998"/>
    <n v="0.96499999999999997"/>
    <n v="10978.148799999999"/>
    <n v="11851.6"/>
    <n v="10172"/>
    <n v="13845"/>
    <n v="13124"/>
    <n v="7407"/>
    <n v="12354"/>
    <n v="1.125326339172958"/>
    <m/>
    <m/>
    <s v="x"/>
    <m/>
    <m/>
    <m/>
    <m/>
    <s v="ㅇ"/>
    <s v="ㅇ"/>
  </r>
  <r>
    <n v="390"/>
    <x v="392"/>
    <n v="408"/>
    <x v="7"/>
    <n v="10"/>
    <x v="35"/>
    <x v="392"/>
    <s v="동대문구 약령시로5길 22 (제기동 220)"/>
    <s v="(주)대연씨앤아이"/>
    <n v="25"/>
    <n v="96"/>
    <n v="3.84"/>
    <n v="0.86040779744566431"/>
    <m/>
    <n v="0"/>
    <n v="0"/>
    <n v="17.52"/>
    <m/>
    <s v="-"/>
    <s v="-"/>
    <s v="-"/>
    <s v="-"/>
    <s v="-"/>
    <n v="29200"/>
    <m/>
    <n v="15"/>
    <n v="0.99099999999999999"/>
    <n v="0.96499999999999997"/>
    <n v="27924.397999999997"/>
    <n v="32545"/>
    <n v="32289"/>
    <n v="35416"/>
    <n v="33240"/>
    <n v="18120"/>
    <n v="28853"/>
    <n v="1.0332541457115747"/>
    <m/>
    <m/>
    <s v="x"/>
    <m/>
    <m/>
    <m/>
    <m/>
    <s v="ㅇ"/>
    <s v="ㅇ"/>
  </r>
  <r>
    <n v="391"/>
    <x v="393"/>
    <n v="404"/>
    <x v="7"/>
    <n v="12"/>
    <x v="35"/>
    <x v="393"/>
    <s v="동대문구 약령시로 71 (제기동 830-1)"/>
    <s v="㈜텐코리아"/>
    <n v="25.6"/>
    <n v="98"/>
    <n v="3.828125"/>
    <n v="0.85774703114496975"/>
    <m/>
    <n v="0"/>
    <n v="0"/>
    <n v="17.940480000000004"/>
    <m/>
    <s v="-"/>
    <s v="-"/>
    <s v="-"/>
    <s v="-"/>
    <s v="-"/>
    <n v="29900.800000000007"/>
    <n v="30"/>
    <n v="0"/>
    <n v="1"/>
    <n v="0.96499999999999997"/>
    <n v="28854.272000000004"/>
    <n v="30131"/>
    <n v="0"/>
    <s v="-"/>
    <s v="-"/>
    <s v="(누적)177557"/>
    <n v="28951"/>
    <n v="1.0033522938994959"/>
    <m/>
    <m/>
    <s v="x"/>
    <m/>
    <m/>
    <m/>
    <m/>
    <s v="ㅇ"/>
    <s v="ㅇ"/>
  </r>
  <r>
    <n v="395"/>
    <x v="394"/>
    <n v="384"/>
    <x v="7"/>
    <n v="4"/>
    <x v="37"/>
    <x v="394"/>
    <s v="강북구 덕릉로42길 49"/>
    <s v="㈜에이스쏠라"/>
    <n v="20.02"/>
    <n v="82"/>
    <n v="4.0959040959040962"/>
    <n v="0.91774682856914547"/>
    <m/>
    <n v="0"/>
    <n v="0"/>
    <n v="14.030016000000002"/>
    <m/>
    <s v="-"/>
    <s v="-"/>
    <s v="-"/>
    <s v="-"/>
    <s v="-"/>
    <n v="23383.360000000004"/>
    <m/>
    <m/>
    <n v="1"/>
    <n v="0.96499999999999997"/>
    <n v="22564.942400000004"/>
    <n v="21871"/>
    <n v="20851"/>
    <n v="21051"/>
    <n v="20941"/>
    <n v="11585"/>
    <n v="20486"/>
    <n v="0.90786848186237767"/>
    <m/>
    <m/>
    <s v="x"/>
    <m/>
    <m/>
    <m/>
    <m/>
    <s v="ㅇ"/>
    <s v="ㅇ"/>
  </r>
  <r>
    <n v="394"/>
    <x v="395"/>
    <n v="410"/>
    <x v="7"/>
    <n v="12"/>
    <x v="37"/>
    <x v="395"/>
    <s v="강북구 도봉로69길 29"/>
    <s v="다우안전기술단"/>
    <n v="29"/>
    <n v="121"/>
    <n v="4.1724137931034484"/>
    <n v="0.93488993795730413"/>
    <m/>
    <n v="0"/>
    <n v="0"/>
    <n v="20.323200000000003"/>
    <m/>
    <s v="-"/>
    <s v="-"/>
    <s v="-"/>
    <s v="-"/>
    <s v="-"/>
    <n v="33872.000000000007"/>
    <m/>
    <m/>
    <n v="1"/>
    <n v="0.96499999999999997"/>
    <n v="32686.480000000007"/>
    <n v="35702"/>
    <n v="21143"/>
    <n v="21950"/>
    <n v="20664"/>
    <n v="20971"/>
    <n v="33930"/>
    <n v="1.0380438640073815"/>
    <m/>
    <m/>
    <s v="x"/>
    <m/>
    <m/>
    <m/>
    <m/>
    <s v="ㅇ"/>
    <s v="ㅇ"/>
  </r>
  <r>
    <n v="399"/>
    <x v="396"/>
    <n v="381"/>
    <x v="7"/>
    <n v="1"/>
    <x v="14"/>
    <x v="396"/>
    <s v="도봉구 마들로 656"/>
    <s v="㈜에스피브이"/>
    <n v="18"/>
    <n v="149"/>
    <n v="8.2777777777777786"/>
    <n v="1.8547563920631365"/>
    <s v="구조물"/>
    <n v="0"/>
    <n v="0"/>
    <n v="12.6144"/>
    <m/>
    <s v="-"/>
    <s v="-"/>
    <s v="-"/>
    <s v="-"/>
    <s v="-"/>
    <n v="21024"/>
    <m/>
    <m/>
    <n v="1"/>
    <n v="0.96499999999999997"/>
    <n v="20288.16"/>
    <n v="13708"/>
    <n v="11171"/>
    <n v="16812"/>
    <n v="17482"/>
    <n v="10997"/>
    <n v="17193"/>
    <n v="0.84744008328010034"/>
    <m/>
    <s v="의회 옆 벽에 수직으로 붙어있어 효율이 다소 떨어짐"/>
    <s v="x"/>
    <m/>
    <m/>
    <m/>
    <m/>
    <s v="ㅇ"/>
    <s v="ㅇ"/>
  </r>
  <r>
    <n v="396"/>
    <x v="397"/>
    <n v="411"/>
    <x v="7"/>
    <n v="1"/>
    <x v="14"/>
    <x v="397"/>
    <s v="도봉구 덕릉로66길 84-1"/>
    <s v="에디슨솔라이텍㈜"/>
    <n v="30"/>
    <n v="137"/>
    <n v="4.5666666666666664"/>
    <n v="1.0232280230039583"/>
    <m/>
    <n v="0"/>
    <n v="0"/>
    <n v="21.024000000000001"/>
    <m/>
    <s v="-"/>
    <s v="-"/>
    <s v="-"/>
    <s v="-"/>
    <s v="-"/>
    <n v="35040"/>
    <n v="25"/>
    <n v="-30"/>
    <n v="0.96599999999999997"/>
    <n v="0.96499999999999997"/>
    <n v="32663.937599999997"/>
    <n v="0"/>
    <n v="0"/>
    <n v="10035"/>
    <n v="10164"/>
    <n v="30200"/>
    <n v="34500"/>
    <n v="1.0562106878381987"/>
    <m/>
    <m/>
    <s v="x"/>
    <m/>
    <m/>
    <m/>
    <m/>
    <s v="ㅇ"/>
    <s v="ㅇ"/>
  </r>
  <r>
    <n v="397"/>
    <x v="398"/>
    <n v="361"/>
    <x v="7"/>
    <n v="9"/>
    <x v="14"/>
    <x v="398"/>
    <s v="도봉구 도봉로169가길 52"/>
    <s v="에스피브이"/>
    <n v="14.4"/>
    <n v="57"/>
    <n v="3.958333333333333"/>
    <n v="0.88692210023153328"/>
    <m/>
    <n v="0.121"/>
    <n v="1.6805555555555556"/>
    <n v="9.9705199999999987"/>
    <s v="수리비용"/>
    <s v="-"/>
    <s v="-"/>
    <s v="-"/>
    <s v="-"/>
    <n v="0.121"/>
    <n v="16819.2"/>
    <m/>
    <m/>
    <n v="1"/>
    <n v="0.96499999999999997"/>
    <n v="16230.528"/>
    <n v="0"/>
    <n v="0"/>
    <n v="3200"/>
    <n v="3349"/>
    <n v="10845"/>
    <n v="15438"/>
    <n v="0.95117053493268977"/>
    <m/>
    <m/>
    <s v="ㅇ"/>
    <s v="인버터"/>
    <n v="0.121"/>
    <n v="1"/>
    <m/>
    <s v="ㅇ"/>
    <s v="ㅇ"/>
  </r>
  <r>
    <n v="398"/>
    <x v="399"/>
    <n v="421"/>
    <x v="7"/>
    <n v="9"/>
    <x v="14"/>
    <x v="399"/>
    <s v="도봉구 덕릉로60차길 6"/>
    <s v="에스피브이"/>
    <n v="10.199999999999999"/>
    <n v="41"/>
    <n v="4.0196078431372548"/>
    <n v="0.90065154450756324"/>
    <m/>
    <n v="0"/>
    <n v="0"/>
    <n v="7.1481599999999998"/>
    <m/>
    <s v="-"/>
    <s v="-"/>
    <s v="-"/>
    <s v="-"/>
    <s v="-"/>
    <n v="11913.6"/>
    <m/>
    <m/>
    <n v="1"/>
    <n v="0.96499999999999997"/>
    <n v="11496.624"/>
    <s v="-"/>
    <s v="-"/>
    <s v="-"/>
    <n v="12853"/>
    <n v="8027"/>
    <n v="12746"/>
    <n v="1.1086732940035267"/>
    <m/>
    <m/>
    <s v="x"/>
    <m/>
    <m/>
    <m/>
    <m/>
    <s v="ㅇ"/>
    <s v="ㅇ"/>
  </r>
  <r>
    <n v="400"/>
    <x v="400"/>
    <n v="396"/>
    <x v="7"/>
    <n v="12"/>
    <x v="14"/>
    <x v="400"/>
    <s v="도봉구 도봉산4길 28-3"/>
    <s v="㈜에스피브이"/>
    <n v="3"/>
    <n v="14"/>
    <n v="4.666666666666667"/>
    <n v="1.0456344760624394"/>
    <m/>
    <n v="0"/>
    <n v="0"/>
    <n v="2.1024000000000003"/>
    <m/>
    <s v="-"/>
    <s v="-"/>
    <s v="-"/>
    <s v="-"/>
    <s v="-"/>
    <n v="3504.0000000000005"/>
    <m/>
    <m/>
    <n v="1"/>
    <n v="0.96499999999999997"/>
    <n v="3381.36"/>
    <s v="-"/>
    <s v="-"/>
    <s v="-"/>
    <n v="3671"/>
    <n v="2296"/>
    <n v="3259"/>
    <n v="0.96381337686611301"/>
    <m/>
    <m/>
    <s v="x"/>
    <m/>
    <m/>
    <m/>
    <m/>
    <s v="ㅇ"/>
    <s v="ㅇ"/>
  </r>
  <r>
    <n v="401"/>
    <x v="401"/>
    <n v="409"/>
    <x v="7"/>
    <n v="12"/>
    <x v="14"/>
    <x v="401"/>
    <s v="도봉구 덕릉로 315"/>
    <s v="에스피브이㈜"/>
    <n v="20"/>
    <n v="54"/>
    <n v="2.7"/>
    <n v="0.60497423257898275"/>
    <m/>
    <n v="0"/>
    <n v="0"/>
    <n v="14.016"/>
    <m/>
    <s v="-"/>
    <s v="-"/>
    <s v="-"/>
    <s v="-"/>
    <s v="-"/>
    <n v="23360"/>
    <m/>
    <m/>
    <n v="1"/>
    <n v="0.96499999999999997"/>
    <n v="22542.399999999998"/>
    <n v="23073"/>
    <n v="21121"/>
    <n v="24520"/>
    <n v="17596"/>
    <n v="12075"/>
    <n v="23320"/>
    <n v="1.0344949960962453"/>
    <m/>
    <m/>
    <s v="x"/>
    <m/>
    <m/>
    <m/>
    <m/>
    <s v="x"/>
    <s v="x"/>
  </r>
  <r>
    <n v="403"/>
    <x v="402"/>
    <n v="365"/>
    <x v="7"/>
    <n v="6"/>
    <x v="38"/>
    <x v="402"/>
    <s v="노원구 중계로167"/>
    <s v="㈜지에스기술단"/>
    <n v="5"/>
    <n v="16"/>
    <n v="3.2"/>
    <n v="0.71700649787138704"/>
    <m/>
    <n v="0.6"/>
    <n v="24"/>
    <n v="2.9039999999999999"/>
    <s v="수리비용"/>
    <s v="-"/>
    <s v="-"/>
    <s v="-"/>
    <s v="-"/>
    <n v="0.6"/>
    <n v="5840"/>
    <m/>
    <m/>
    <n v="1"/>
    <n v="0.96499999999999997"/>
    <n v="5635.5999999999995"/>
    <n v="6236"/>
    <n v="6430"/>
    <n v="6424"/>
    <n v="6348"/>
    <n v="3362"/>
    <n v="6364"/>
    <n v="1.1292497693235859"/>
    <m/>
    <m/>
    <s v="ㅇ"/>
    <s v="기타"/>
    <n v="0.6"/>
    <n v="1"/>
    <m/>
    <s v="ㅇ"/>
    <s v="ㅇ"/>
  </r>
  <r>
    <n v="402"/>
    <x v="403"/>
    <n v="405"/>
    <x v="7"/>
    <n v="7"/>
    <x v="38"/>
    <x v="403"/>
    <s v="노원구 화랑로 422"/>
    <s v="(주)윌링스"/>
    <n v="15"/>
    <n v="65"/>
    <n v="4.333333333333333"/>
    <n v="0.97094629920083642"/>
    <m/>
    <n v="0"/>
    <n v="0"/>
    <n v="10.512"/>
    <m/>
    <s v="-"/>
    <s v="-"/>
    <s v="-"/>
    <s v="-"/>
    <s v="-"/>
    <n v="17520"/>
    <m/>
    <m/>
    <n v="1"/>
    <n v="0.96499999999999997"/>
    <n v="16906.8"/>
    <n v="17855"/>
    <n v="19133"/>
    <n v="16418"/>
    <n v="18075"/>
    <n v="10121"/>
    <n v="17005"/>
    <n v="1.0058083138145599"/>
    <m/>
    <m/>
    <s v="x"/>
    <m/>
    <m/>
    <m/>
    <m/>
    <s v="ㅇ"/>
    <s v="ㅇ"/>
  </r>
  <r>
    <n v="405"/>
    <x v="404"/>
    <n v="388"/>
    <x v="7"/>
    <n v="9"/>
    <x v="38"/>
    <x v="404"/>
    <s v="노원구 덕릉로 60길 199"/>
    <s v="-"/>
    <n v="3"/>
    <n v="8"/>
    <n v="2.6666666666666665"/>
    <n v="0.59750541489282238"/>
    <m/>
    <n v="0"/>
    <n v="0"/>
    <n v="2.1024000000000003"/>
    <m/>
    <s v="-"/>
    <s v="-"/>
    <s v="-"/>
    <s v="-"/>
    <s v="-"/>
    <n v="3504.0000000000005"/>
    <m/>
    <m/>
    <n v="1"/>
    <n v="0.96499999999999997"/>
    <n v="3381.36"/>
    <s v="-"/>
    <s v="-"/>
    <s v="-"/>
    <n v="3469"/>
    <n v="1997"/>
    <n v="3131"/>
    <n v="0.92595878581399194"/>
    <m/>
    <m/>
    <s v="x"/>
    <m/>
    <m/>
    <m/>
    <m/>
    <s v="ㅇ"/>
    <s v="ㅇ"/>
  </r>
  <r>
    <n v="404"/>
    <x v="405"/>
    <n v="389"/>
    <x v="7"/>
    <n v="12"/>
    <x v="38"/>
    <x v="405"/>
    <s v="노원구 노해로 437"/>
    <s v="㈜에코스"/>
    <n v="44"/>
    <n v="164"/>
    <n v="3.7272727272727271"/>
    <n v="0.8351496139979222"/>
    <m/>
    <n v="0"/>
    <n v="0"/>
    <n v="30.835200000000004"/>
    <m/>
    <s v="-"/>
    <s v="-"/>
    <s v="-"/>
    <s v="-"/>
    <s v="-"/>
    <n v="51392.000000000007"/>
    <m/>
    <m/>
    <n v="1"/>
    <n v="0.96499999999999997"/>
    <n v="49593.280000000006"/>
    <n v="30196"/>
    <n v="0"/>
    <s v="-"/>
    <n v="41013"/>
    <n v="23552"/>
    <n v="46209"/>
    <n v="0.93175930287329245"/>
    <m/>
    <m/>
    <s v="x"/>
    <m/>
    <m/>
    <m/>
    <m/>
    <s v="ㅇ"/>
    <s v="ㅇ"/>
  </r>
  <r>
    <n v="406"/>
    <x v="406"/>
    <n v="378"/>
    <x v="7"/>
    <n v="4"/>
    <x v="39"/>
    <x v="406"/>
    <s v="연서로50길 8 (진관동 135-5)"/>
    <s v="에디슨솔라이텍㈜"/>
    <n v="15"/>
    <n v="90"/>
    <n v="6"/>
    <n v="1.3443871835088506"/>
    <s v="구조물"/>
    <n v="0"/>
    <n v="0"/>
    <n v="10.512"/>
    <m/>
    <s v="-"/>
    <s v="-"/>
    <s v="-"/>
    <s v="-"/>
    <s v="-"/>
    <n v="17520"/>
    <n v="20"/>
    <n v="-40"/>
    <n v="0.92670574643523373"/>
    <n v="0.96499999999999997"/>
    <n v="15667.628713831209"/>
    <n v="4820"/>
    <n v="3360"/>
    <n v="3750"/>
    <n v="3560"/>
    <n v="1760"/>
    <n v="11072"/>
    <n v="0.70668000896815741"/>
    <s v="시설노후"/>
    <s v="모듈 노후화에 따른 발전효율 저하"/>
    <s v="x"/>
    <m/>
    <m/>
    <m/>
    <m/>
    <s v="ㅇ"/>
    <s v="ㅇ"/>
  </r>
  <r>
    <n v="407"/>
    <x v="407"/>
    <n v="402"/>
    <x v="7"/>
    <n v="7"/>
    <x v="40"/>
    <x v="407"/>
    <s v="서대문구 충정로3가 185-2"/>
    <s v="(주)대연씨앤아이"/>
    <n v="10"/>
    <n v="39.5"/>
    <n v="3.95"/>
    <n v="0.8850548958099933"/>
    <m/>
    <n v="0"/>
    <n v="0"/>
    <n v="7.008"/>
    <m/>
    <m/>
    <m/>
    <m/>
    <m/>
    <m/>
    <n v="11680"/>
    <m/>
    <m/>
    <n v="1"/>
    <n v="0.96499999999999997"/>
    <n v="11271.199999999999"/>
    <n v="13040"/>
    <n v="13806"/>
    <n v="13758"/>
    <n v="12939"/>
    <n v="3600"/>
    <n v="11213"/>
    <n v="0.99483639718929673"/>
    <m/>
    <s v="모니터링 시스템 고도화(교체)로 1~3월 발전량 모니터링 되지않음. / 연간 예상발전량이 아닌 모니터링 기간 9개월에 대한 발전효율 계산"/>
    <s v="x"/>
    <m/>
    <m/>
    <m/>
    <m/>
    <s v="ㅇ"/>
    <s v="ㅇ"/>
  </r>
  <r>
    <n v="408"/>
    <x v="408"/>
    <n v="373"/>
    <x v="7"/>
    <n v="7"/>
    <x v="40"/>
    <x v="408"/>
    <s v="서대문구 홍은 중앙로 129"/>
    <s v="㈜대연씨엔아이"/>
    <n v="10"/>
    <n v="39.5"/>
    <n v="3.95"/>
    <n v="0.8850548958099933"/>
    <m/>
    <n v="0.7"/>
    <n v="13.999999999999998"/>
    <n v="6.3079999999999998"/>
    <m/>
    <s v="-"/>
    <n v="0.2"/>
    <s v="-"/>
    <n v="0.2"/>
    <n v="0.3"/>
    <n v="11680"/>
    <m/>
    <m/>
    <n v="1"/>
    <n v="0.96499999999999997"/>
    <n v="11271.199999999999"/>
    <n v="12992.1"/>
    <n v="13548"/>
    <n v="13568.6"/>
    <n v="12492"/>
    <n v="7600"/>
    <n v="12124"/>
    <n v="1.0756618638654269"/>
    <m/>
    <m/>
    <s v="x"/>
    <m/>
    <m/>
    <m/>
    <m/>
    <s v="ㅇ"/>
    <s v="ㅇ"/>
  </r>
  <r>
    <n v="409"/>
    <x v="409"/>
    <n v="375"/>
    <x v="7"/>
    <n v="6"/>
    <x v="15"/>
    <x v="409"/>
    <s v="마포구 동교로 15길07"/>
    <s v="오리엔트정보통신㈜"/>
    <n v="18"/>
    <n v="78"/>
    <n v="4.333333333333333"/>
    <n v="0.97094629920083642"/>
    <m/>
    <n v="0.3"/>
    <n v="3.333333333333333"/>
    <n v="12.314399999999999"/>
    <m/>
    <m/>
    <m/>
    <m/>
    <m/>
    <n v="0.3"/>
    <n v="21024"/>
    <m/>
    <n v="-30"/>
    <n v="0.97899999999999998"/>
    <n v="0.96499999999999997"/>
    <n v="19862.108639999999"/>
    <n v="9743"/>
    <n v="9218"/>
    <n v="8390"/>
    <n v="4176"/>
    <n v="5683"/>
    <n v="9910"/>
    <n v="0.498939975589621"/>
    <s v="시설정비"/>
    <s v="인버터 수리 의뢰(2021년 2월 수리 예정) / 장기간 태양광 발전효율이 낮아 현 담당자 발령이후 _x000a_20.4월 수리 후 정상화 확인, 그러나 2달뒤  재고장, 인버터 재고장 사유 파악중"/>
    <s v="x"/>
    <m/>
    <n v="0"/>
    <n v="20"/>
    <m/>
    <s v="x"/>
    <s v="ㅇ"/>
  </r>
  <r>
    <n v="410"/>
    <x v="410"/>
    <n v="419"/>
    <x v="7"/>
    <n v="3"/>
    <x v="56"/>
    <x v="410"/>
    <s v="양천구 신월로24길 19"/>
    <s v="케이디파워㈜"/>
    <n v="10"/>
    <n v="43"/>
    <n v="4.3"/>
    <n v="0.96347748151467616"/>
    <m/>
    <n v="0"/>
    <n v="0"/>
    <n v="7.008"/>
    <m/>
    <s v="-"/>
    <s v="-"/>
    <s v="-"/>
    <s v="-"/>
    <s v="-"/>
    <n v="11680"/>
    <m/>
    <m/>
    <n v="1"/>
    <n v="0.96499999999999997"/>
    <n v="11271.199999999999"/>
    <n v="0"/>
    <n v="0"/>
    <s v="-"/>
    <s v="-"/>
    <n v="8820"/>
    <n v="12414"/>
    <n v="1.1013911562211656"/>
    <m/>
    <m/>
    <s v="x"/>
    <m/>
    <m/>
    <m/>
    <m/>
    <s v="ㅇ"/>
    <s v="ㅇ"/>
  </r>
  <r>
    <n v="411"/>
    <x v="411"/>
    <n v="406"/>
    <x v="7"/>
    <n v="7"/>
    <x v="56"/>
    <x v="411"/>
    <s v="양천구 가로공원로86"/>
    <s v="㈜파루"/>
    <n v="20.02"/>
    <n v="83"/>
    <n v="4.1458541458541456"/>
    <n v="0.92893886306389095"/>
    <m/>
    <n v="0"/>
    <n v="0"/>
    <n v="14.030016000000002"/>
    <m/>
    <s v="-"/>
    <s v="-"/>
    <s v="-"/>
    <s v="-"/>
    <s v="-"/>
    <n v="23383.360000000004"/>
    <m/>
    <m/>
    <n v="1"/>
    <n v="0.96499999999999997"/>
    <n v="22564.942400000004"/>
    <n v="23429"/>
    <n v="24289"/>
    <n v="24423"/>
    <n v="23455"/>
    <n v="13988"/>
    <n v="22871"/>
    <n v="1.0135634115334589"/>
    <m/>
    <m/>
    <s v="x"/>
    <m/>
    <m/>
    <m/>
    <m/>
    <s v="ㅇ"/>
    <s v="ㅇ"/>
  </r>
  <r>
    <n v="413"/>
    <x v="412"/>
    <n v="379"/>
    <x v="7"/>
    <n v="8"/>
    <x v="56"/>
    <x v="412"/>
    <s v="양천구 목동동로87"/>
    <s v="㈜케이디파워"/>
    <n v="20.3"/>
    <n v="81"/>
    <n v="3.9901477832512313"/>
    <n v="0.89405059001820109"/>
    <m/>
    <n v="0"/>
    <n v="0"/>
    <n v="14.226240000000001"/>
    <m/>
    <s v="-"/>
    <s v="-"/>
    <s v="-"/>
    <s v="-"/>
    <s v="-"/>
    <n v="23710.400000000001"/>
    <m/>
    <n v="-15"/>
    <n v="0.96066878426270308"/>
    <n v="0.96499999999999997"/>
    <n v="21980.616702399009"/>
    <n v="0"/>
    <n v="0"/>
    <n v="24036"/>
    <s v="-"/>
    <n v="12133"/>
    <n v="17368"/>
    <n v="0.79015071483887989"/>
    <s v="주변환경 변화에 따른 음영"/>
    <s v="주변 건물로 인해 음영 발생"/>
    <s v="x"/>
    <m/>
    <m/>
    <m/>
    <m/>
    <s v="ㅇ"/>
    <s v="ㅇ"/>
  </r>
  <r>
    <n v="412"/>
    <x v="413"/>
    <n v="429"/>
    <x v="7"/>
    <n v="8"/>
    <x v="56"/>
    <x v="413"/>
    <s v="양천구 목동서로 339"/>
    <s v="케이디파워㈜"/>
    <n v="10.14"/>
    <n v="42"/>
    <n v="4.1420118343195265"/>
    <n v="0.92807793733352595"/>
    <m/>
    <n v="0"/>
    <n v="0"/>
    <n v="7.1061120000000013"/>
    <m/>
    <s v="-"/>
    <s v="-"/>
    <s v="-"/>
    <s v="-"/>
    <s v="-"/>
    <n v="11843.52"/>
    <m/>
    <m/>
    <n v="1"/>
    <n v="0.96499999999999997"/>
    <n v="11428.996800000001"/>
    <n v="13678"/>
    <n v="12847"/>
    <n v="12797"/>
    <n v="13061"/>
    <n v="8524"/>
    <n v="13335"/>
    <n v="1.1667690728551083"/>
    <m/>
    <m/>
    <s v="x"/>
    <m/>
    <m/>
    <m/>
    <m/>
    <s v="ㅇ"/>
    <s v="ㅇ"/>
  </r>
  <r>
    <n v="414"/>
    <x v="414"/>
    <n v="367"/>
    <x v="7"/>
    <n v="6"/>
    <x v="65"/>
    <x v="414"/>
    <s v="강서구 양천로59길 38"/>
    <s v="㈜케이디파워"/>
    <n v="11"/>
    <n v="48"/>
    <n v="4.3636363636363633"/>
    <n v="0.97773613346098209"/>
    <m/>
    <n v="1"/>
    <n v="18.18181818181818"/>
    <n v="6.708800000000001"/>
    <s v="수리비용"/>
    <m/>
    <m/>
    <n v="1"/>
    <m/>
    <m/>
    <n v="12848.000000000002"/>
    <n v="30"/>
    <n v="20"/>
    <n v="0.99"/>
    <n v="0.96499999999999997"/>
    <n v="12274.336800000001"/>
    <n v="13241"/>
    <n v="13827"/>
    <n v="13225"/>
    <n v="11971"/>
    <n v="7084"/>
    <n v="11852"/>
    <n v="0.9655918843615241"/>
    <m/>
    <m/>
    <s v="ㅇ"/>
    <s v="인버터"/>
    <n v="1"/>
    <n v="1"/>
    <m/>
    <s v="ㅇ"/>
    <s v="ㅇ"/>
  </r>
  <r>
    <n v="415"/>
    <x v="415"/>
    <n v="368"/>
    <x v="7"/>
    <n v="12"/>
    <x v="65"/>
    <x v="415"/>
    <s v="강서구 방화대로 334"/>
    <s v="㈜에너솔라"/>
    <n v="25"/>
    <n v="54"/>
    <n v="2.16"/>
    <n v="0.48397938606318625"/>
    <m/>
    <n v="1"/>
    <n v="8"/>
    <n v="16.52"/>
    <s v="수리비용"/>
    <m/>
    <m/>
    <m/>
    <n v="1"/>
    <m/>
    <n v="29200"/>
    <n v="30"/>
    <n v="0"/>
    <n v="0.999"/>
    <n v="0.96499999999999997"/>
    <n v="28149.822"/>
    <s v="-"/>
    <s v="-"/>
    <n v="27357"/>
    <n v="27473"/>
    <n v="17030"/>
    <n v="28211"/>
    <n v="1.0021732997103854"/>
    <m/>
    <m/>
    <s v="ㅇ"/>
    <s v="인버터"/>
    <n v="1"/>
    <n v="1"/>
    <m/>
    <s v="ㅇ"/>
    <s v="ㅇ"/>
  </r>
  <r>
    <n v="417"/>
    <x v="416"/>
    <n v="412"/>
    <x v="7"/>
    <n v="9"/>
    <x v="16"/>
    <x v="416"/>
    <s v="구로구 고척로45길 39"/>
    <s v="에디슨솔라이텍㈜"/>
    <n v="20"/>
    <n v="85"/>
    <n v="4.25"/>
    <n v="0.95227425498543583"/>
    <m/>
    <n v="0"/>
    <n v="0"/>
    <n v="14.016"/>
    <m/>
    <s v="-"/>
    <s v="-"/>
    <s v="-"/>
    <s v="-"/>
    <s v="-"/>
    <n v="23360"/>
    <m/>
    <m/>
    <n v="1"/>
    <n v="0.96499999999999997"/>
    <n v="22542.399999999998"/>
    <n v="26330"/>
    <n v="27849"/>
    <n v="27648"/>
    <n v="12672"/>
    <s v="(누적)159804"/>
    <n v="24049"/>
    <n v="1.0668340549364754"/>
    <m/>
    <m/>
    <s v="x"/>
    <m/>
    <m/>
    <m/>
    <m/>
    <s v="ㅇ"/>
    <s v="ㅇ"/>
  </r>
  <r>
    <n v="416"/>
    <x v="417"/>
    <n v="382"/>
    <x v="7"/>
    <n v="12"/>
    <x v="16"/>
    <x v="417"/>
    <s v="구로구 디지털로31길 109"/>
    <s v="㈜에너솔라"/>
    <n v="25.5"/>
    <n v="101"/>
    <n v="3.9607843137254903"/>
    <n v="0.88747127800257453"/>
    <m/>
    <n v="0"/>
    <n v="0"/>
    <n v="17.870400000000004"/>
    <m/>
    <s v="-"/>
    <s v="-"/>
    <s v="-"/>
    <s v="-"/>
    <s v="-"/>
    <n v="29784.000000000004"/>
    <m/>
    <m/>
    <n v="1"/>
    <n v="0.96499999999999997"/>
    <n v="28741.56"/>
    <s v="-"/>
    <s v="-"/>
    <n v="24581"/>
    <n v="24581"/>
    <n v="9707"/>
    <n v="24581"/>
    <n v="0.85524237376120149"/>
    <m/>
    <s v="서울시 모니터링 고도화사업에 따른 발전량 일부 누락"/>
    <s v="x"/>
    <m/>
    <m/>
    <m/>
    <m/>
    <s v="ㅇ"/>
    <s v="ㅇ"/>
  </r>
  <r>
    <n v="418"/>
    <x v="418"/>
    <n v="394"/>
    <x v="7"/>
    <n v="12"/>
    <x v="16"/>
    <x v="418"/>
    <s v="구로구 궁동 204-4"/>
    <s v="㈜에너솔라"/>
    <n v="15.6"/>
    <n v="65"/>
    <n v="4.166666666666667"/>
    <n v="0.93360221077003513"/>
    <m/>
    <n v="0"/>
    <n v="0"/>
    <n v="10.93248"/>
    <m/>
    <s v="-"/>
    <s v="-"/>
    <s v="-"/>
    <s v="-"/>
    <s v="-"/>
    <n v="18220.8"/>
    <m/>
    <m/>
    <n v="1"/>
    <n v="0.96499999999999997"/>
    <n v="17583.072"/>
    <s v="-"/>
    <s v="-"/>
    <s v="-"/>
    <s v="-"/>
    <n v="5214"/>
    <n v="16558"/>
    <n v="0.94170119988134038"/>
    <m/>
    <m/>
    <s v="x"/>
    <m/>
    <m/>
    <m/>
    <m/>
    <s v="ㅇ"/>
    <s v="ㅇ"/>
  </r>
  <r>
    <n v="419"/>
    <x v="419"/>
    <n v="423"/>
    <x v="7"/>
    <n v="12"/>
    <x v="16"/>
    <x v="419"/>
    <s v="구로구 부일로1길 62"/>
    <s v="㈜에이스쏠라"/>
    <n v="6"/>
    <n v="30"/>
    <n v="5"/>
    <n v="1.1203226529240422"/>
    <s v="구조물"/>
    <n v="0"/>
    <n v="0"/>
    <n v="4.2048000000000005"/>
    <m/>
    <s v="-"/>
    <s v="-"/>
    <s v="-"/>
    <s v="-"/>
    <s v="-"/>
    <n v="7008.0000000000009"/>
    <m/>
    <m/>
    <n v="1"/>
    <n v="0.96499999999999997"/>
    <n v="6762.72"/>
    <n v="0"/>
    <n v="0"/>
    <n v="7523"/>
    <n v="7523"/>
    <n v="7523"/>
    <n v="7523"/>
    <n v="1.1124222206449474"/>
    <m/>
    <m/>
    <s v="x"/>
    <m/>
    <m/>
    <m/>
    <m/>
    <s v="ㅇ"/>
    <s v="ㅇ"/>
  </r>
  <r>
    <n v="420"/>
    <x v="420"/>
    <n v="430"/>
    <x v="7"/>
    <n v="2"/>
    <x v="41"/>
    <x v="420"/>
    <s v="금천구 시흥대로 73길 70"/>
    <s v="㈜이멕스시스템"/>
    <n v="15"/>
    <n v="60"/>
    <n v="4"/>
    <n v="0.89625812233923363"/>
    <m/>
    <n v="0"/>
    <n v="0"/>
    <n v="10.512"/>
    <m/>
    <s v="-"/>
    <s v="-"/>
    <s v="-"/>
    <s v="-"/>
    <s v="-"/>
    <n v="17520"/>
    <m/>
    <m/>
    <n v="1"/>
    <n v="0.96499999999999997"/>
    <n v="16906.8"/>
    <s v="-"/>
    <s v="-"/>
    <n v="16991"/>
    <n v="16430"/>
    <n v="12216"/>
    <n v="19753"/>
    <n v="1.1683464641446046"/>
    <m/>
    <m/>
    <s v="x"/>
    <m/>
    <m/>
    <m/>
    <m/>
    <s v="ㅇ"/>
    <s v="ㅇ"/>
  </r>
  <r>
    <n v="421"/>
    <x v="421"/>
    <n v="372"/>
    <x v="7"/>
    <n v="7"/>
    <x v="41"/>
    <x v="421"/>
    <s v="금천구 시흥4동 807 (상계거래 신청)"/>
    <s v="케이디파워㈜"/>
    <n v="6.24"/>
    <n v="20"/>
    <n v="3.2051282051282048"/>
    <n v="0.71815554674618076"/>
    <m/>
    <n v="0.8"/>
    <n v="25.641025641025642"/>
    <n v="3.5729920000000011"/>
    <m/>
    <s v="-"/>
    <s v="-"/>
    <s v="-"/>
    <n v="0.8"/>
    <s v="-"/>
    <n v="7288.3200000000015"/>
    <m/>
    <m/>
    <n v="1"/>
    <n v="0.96499999999999997"/>
    <n v="7033.2288000000017"/>
    <s v="-"/>
    <s v="-"/>
    <n v="7061"/>
    <n v="5420"/>
    <n v="3400"/>
    <n v="6450"/>
    <n v="0.91707524145951269"/>
    <m/>
    <m/>
    <s v="x"/>
    <m/>
    <m/>
    <m/>
    <m/>
    <s v="ㅇ"/>
    <s v="ㅇ"/>
  </r>
  <r>
    <n v="422"/>
    <x v="422"/>
    <n v="395"/>
    <x v="7"/>
    <n v="10"/>
    <x v="41"/>
    <x v="422"/>
    <s v="금천구 독산로36길 14"/>
    <s v="유니테스트"/>
    <n v="15"/>
    <n v="85"/>
    <n v="5.666666666666667"/>
    <n v="1.2696990066472478"/>
    <s v="구조물"/>
    <n v="0"/>
    <n v="0"/>
    <n v="10.512"/>
    <m/>
    <s v="-"/>
    <s v="-"/>
    <s v="-"/>
    <s v="-"/>
    <s v="-"/>
    <n v="17520"/>
    <m/>
    <m/>
    <n v="1"/>
    <n v="0.96499999999999997"/>
    <n v="16906.8"/>
    <n v="16746"/>
    <n v="17098"/>
    <n v="16045"/>
    <n v="13953"/>
    <n v="11000"/>
    <n v="16155"/>
    <n v="0.95553268507346156"/>
    <m/>
    <m/>
    <s v="x"/>
    <m/>
    <m/>
    <m/>
    <m/>
    <s v="ㅇ"/>
    <s v="ㅇ"/>
  </r>
  <r>
    <n v="423"/>
    <x v="423"/>
    <n v="413"/>
    <x v="7"/>
    <n v="10"/>
    <x v="41"/>
    <x v="423"/>
    <s v="금천구 독산로32다길 17"/>
    <s v="유니테스트"/>
    <n v="5"/>
    <n v="30"/>
    <n v="6"/>
    <n v="1.3443871835088506"/>
    <s v="구조물"/>
    <n v="0"/>
    <n v="0"/>
    <n v="3.504"/>
    <m/>
    <s v="-"/>
    <s v="-"/>
    <s v="-"/>
    <s v="-"/>
    <s v="-"/>
    <n v="5840"/>
    <m/>
    <m/>
    <n v="1"/>
    <n v="0.96499999999999997"/>
    <n v="5635.5999999999995"/>
    <n v="5510"/>
    <n v="4433"/>
    <n v="5993"/>
    <n v="6317"/>
    <n v="3800"/>
    <n v="6017"/>
    <n v="1.0676769110653703"/>
    <m/>
    <m/>
    <s v="x"/>
    <m/>
    <m/>
    <m/>
    <m/>
    <s v="x"/>
    <s v="ㅇ"/>
  </r>
  <r>
    <n v="424"/>
    <x v="424"/>
    <n v="371"/>
    <x v="7"/>
    <n v="6"/>
    <x v="17"/>
    <x v="424"/>
    <s v="영등포구 국회대로 615"/>
    <s v="㈜베스텍"/>
    <n v="33"/>
    <n v="109"/>
    <n v="3.3030303030303032"/>
    <n v="0.74009193435588239"/>
    <m/>
    <n v="1.9"/>
    <n v="11.515151515151516"/>
    <n v="21.226400000000002"/>
    <s v="수리비용 등"/>
    <s v="-"/>
    <m/>
    <n v="1.4"/>
    <n v="0.2"/>
    <n v="0.3"/>
    <n v="38544"/>
    <n v="10"/>
    <n v="0"/>
    <n v="0.88400000000000001"/>
    <n v="0.96499999999999997"/>
    <n v="32880.344639999996"/>
    <n v="37485"/>
    <n v="38585"/>
    <n v="38964"/>
    <n v="37753"/>
    <n v="16700"/>
    <n v="36675"/>
    <n v="1.1154080165991838"/>
    <m/>
    <m/>
    <s v="ㅇ"/>
    <s v="모니터링"/>
    <n v="1.4"/>
    <n v="1"/>
    <m/>
    <s v="ㅇ"/>
    <s v="ㅇ"/>
  </r>
  <r>
    <n v="425"/>
    <x v="425"/>
    <n v="376"/>
    <x v="7"/>
    <n v="9"/>
    <x v="42"/>
    <x v="425"/>
    <s v="동작구 대방동 385-2"/>
    <s v="(주)대연씨앤아이"/>
    <n v="5"/>
    <n v="22"/>
    <n v="4.4000000000000004"/>
    <n v="0.98588393457315715"/>
    <m/>
    <n v="0.2"/>
    <n v="8"/>
    <n v="3.3039999999999998"/>
    <m/>
    <m/>
    <n v="0.2"/>
    <m/>
    <m/>
    <m/>
    <n v="5840"/>
    <n v="35"/>
    <n v="20"/>
    <n v="0.99"/>
    <n v="0.96499999999999997"/>
    <n v="5579.2439999999997"/>
    <n v="6352.8"/>
    <n v="6728.3"/>
    <s v="-"/>
    <s v="-"/>
    <n v="3094.33"/>
    <n v="4511"/>
    <n v="0.80853248217858908"/>
    <m/>
    <s v="건물 방위에 맞춰 설치 방위각 남서향으로 설치"/>
    <s v="x"/>
    <m/>
    <m/>
    <m/>
    <m/>
    <s v="ㅇ"/>
    <s v="ㅇ"/>
  </r>
  <r>
    <n v="426"/>
    <x v="426"/>
    <n v="399"/>
    <x v="7"/>
    <n v="6"/>
    <x v="18"/>
    <x v="426"/>
    <s v="관악구 난곡로58길 15"/>
    <s v="(주)이맥스시스템"/>
    <n v="10"/>
    <n v="44"/>
    <n v="4.4000000000000004"/>
    <n v="0.98588393457315715"/>
    <m/>
    <n v="0"/>
    <n v="0"/>
    <n v="7.008"/>
    <m/>
    <s v="-"/>
    <s v="-"/>
    <s v="-"/>
    <s v="-"/>
    <s v="-"/>
    <n v="11680"/>
    <m/>
    <m/>
    <n v="1"/>
    <n v="0.96499999999999997"/>
    <n v="11271.199999999999"/>
    <n v="12024"/>
    <n v="12514"/>
    <n v="12564"/>
    <n v="12387"/>
    <n v="8655"/>
    <n v="10958"/>
    <n v="0.97221236425580249"/>
    <m/>
    <m/>
    <s v="x"/>
    <m/>
    <m/>
    <m/>
    <m/>
    <s v="ㅇ"/>
    <s v="ㅇ"/>
  </r>
  <r>
    <n v="427"/>
    <x v="427"/>
    <n v="385"/>
    <x v="7"/>
    <n v="10"/>
    <x v="18"/>
    <x v="427"/>
    <s v="관악구 양녕로6다길 7"/>
    <s v="(주)이맥스시스템"/>
    <n v="10"/>
    <n v="50"/>
    <n v="5"/>
    <n v="1.1203226529240422"/>
    <s v="구조물"/>
    <n v="0"/>
    <n v="0"/>
    <n v="7.008"/>
    <m/>
    <m/>
    <m/>
    <m/>
    <m/>
    <m/>
    <n v="11680"/>
    <m/>
    <m/>
    <n v="1"/>
    <n v="0.96499999999999997"/>
    <n v="11271.199999999999"/>
    <n v="11578"/>
    <n v="13150"/>
    <n v="13307"/>
    <n v="10530"/>
    <n v="7575"/>
    <n v="10245"/>
    <n v="0.90895379373979712"/>
    <m/>
    <m/>
    <s v="x"/>
    <m/>
    <m/>
    <m/>
    <m/>
    <s v="ㅇ"/>
    <s v="ㅇ"/>
  </r>
  <r>
    <n v="428"/>
    <x v="428"/>
    <n v="417"/>
    <x v="7"/>
    <n v="11"/>
    <x v="43"/>
    <x v="428"/>
    <s v="서초구 서초동 1649-5"/>
    <s v="동부전기"/>
    <n v="10"/>
    <n v="42"/>
    <n v="4.2"/>
    <n v="0.94107102845619539"/>
    <m/>
    <n v="0"/>
    <n v="0"/>
    <n v="7.008"/>
    <m/>
    <s v="-"/>
    <s v="-"/>
    <s v="-"/>
    <s v="-"/>
    <s v="-"/>
    <n v="11680"/>
    <n v="10"/>
    <m/>
    <n v="1"/>
    <n v="0.96499999999999997"/>
    <n v="11271.199999999999"/>
    <n v="12893"/>
    <n v="13571"/>
    <n v="13565"/>
    <n v="13429"/>
    <n v="8775"/>
    <n v="12262"/>
    <n v="1.0879054581588474"/>
    <m/>
    <m/>
    <s v="x"/>
    <m/>
    <m/>
    <m/>
    <m/>
    <s v="ㅇ"/>
    <s v="ㅇ"/>
  </r>
  <r>
    <n v="429"/>
    <x v="429"/>
    <n v="364"/>
    <x v="7"/>
    <n v="12"/>
    <x v="44"/>
    <x v="429"/>
    <s v="강남구 세곡동 202번지"/>
    <s v="윌링스㈜"/>
    <n v="42"/>
    <n v="160"/>
    <n v="3.8095238095238093"/>
    <n v="0.85357916413260349"/>
    <m/>
    <n v="3.5999999999999996"/>
    <n v="17.142857142857139"/>
    <n v="25.833599999999997"/>
    <s v="안전관리"/>
    <n v="0.72"/>
    <n v="0.72"/>
    <n v="0.72"/>
    <n v="0.72"/>
    <n v="0.72"/>
    <n v="49056"/>
    <m/>
    <m/>
    <n v="1"/>
    <n v="0.96499999999999997"/>
    <n v="47339.040000000001"/>
    <n v="43713"/>
    <n v="45643"/>
    <n v="44081"/>
    <n v="44756"/>
    <n v="22375"/>
    <n v="44765"/>
    <n v="0.94562542882153922"/>
    <m/>
    <m/>
    <s v="x"/>
    <m/>
    <m/>
    <m/>
    <m/>
    <s v="ㅇ"/>
    <s v="ㅇ"/>
  </r>
  <r>
    <n v="431"/>
    <x v="430"/>
    <n v="403"/>
    <x v="7"/>
    <n v="7"/>
    <x v="45"/>
    <x v="430"/>
    <s v="송파구 거여1동 136-16"/>
    <s v="LS산전㈜"/>
    <n v="3"/>
    <n v="11"/>
    <n v="3.6666666666666665"/>
    <n v="0.82156994547763085"/>
    <m/>
    <n v="0"/>
    <n v="0"/>
    <n v="2.1024000000000003"/>
    <m/>
    <s v="-"/>
    <s v="-"/>
    <s v="-"/>
    <s v="-"/>
    <s v="-"/>
    <n v="3504.0000000000005"/>
    <n v="30"/>
    <n v="40"/>
    <n v="0.96499999999999997"/>
    <n v="0.96499999999999997"/>
    <n v="3263.0124000000005"/>
    <n v="3454"/>
    <n v="3576"/>
    <n v="3418"/>
    <n v="3456"/>
    <n v="1978"/>
    <n v="3257"/>
    <n v="0.99815740816676013"/>
    <m/>
    <m/>
    <s v="x"/>
    <m/>
    <m/>
    <m/>
    <m/>
    <s v="ㅇ"/>
    <s v="ㅇ"/>
  </r>
  <r>
    <n v="430"/>
    <x v="431"/>
    <n v="362"/>
    <x v="7"/>
    <n v="12"/>
    <x v="45"/>
    <x v="431"/>
    <s v="송파구 백제고분로37길 16"/>
    <s v="㈜이건창호/㈜윌링스"/>
    <n v="20.379000000000001"/>
    <n v="142.6"/>
    <n v="6.9973992835762298"/>
    <n v="1.5678689857889827"/>
    <s v="BIPV"/>
    <n v="0.3"/>
    <n v="2.9442072721919619"/>
    <n v="13.9816032"/>
    <m/>
    <s v="-"/>
    <s v="-"/>
    <n v="0.3"/>
    <s v="-"/>
    <s v="-"/>
    <n v="23802.672000000002"/>
    <n v="90"/>
    <n v="0"/>
    <n v="1"/>
    <n v="0.96499999999999997"/>
    <n v="22969.57848"/>
    <n v="15521"/>
    <n v="16881"/>
    <n v="15245"/>
    <n v="16217"/>
    <s v="87,296(누적)"/>
    <n v="23507"/>
    <n v="1.0233970997973665"/>
    <m/>
    <m/>
    <s v="ㅇ"/>
    <s v="인버터"/>
    <n v="0.3"/>
    <n v="6"/>
    <m/>
    <s v="ㅇ"/>
    <s v="ㅇ"/>
  </r>
  <r>
    <n v="432"/>
    <x v="432"/>
    <n v="171"/>
    <x v="3"/>
    <n v="7"/>
    <x v="46"/>
    <x v="432"/>
    <s v="강동구 둔촌동 133-10"/>
    <s v="㈜신성씨에스"/>
    <n v="10"/>
    <n v="71"/>
    <n v="7.1"/>
    <n v="0.9888579387186629"/>
    <m/>
    <n v="0"/>
    <n v="0"/>
    <n v="7.008"/>
    <m/>
    <s v="-"/>
    <s v="-"/>
    <s v="-"/>
    <s v="-"/>
    <s v="-"/>
    <n v="11680"/>
    <m/>
    <m/>
    <n v="1"/>
    <n v="0.94499999999999995"/>
    <n v="11037.599999999999"/>
    <n v="8046"/>
    <n v="0"/>
    <n v="11680"/>
    <n v="11680"/>
    <n v="6754"/>
    <n v="10724"/>
    <n v="0.97158802638254704"/>
    <m/>
    <m/>
    <s v="x"/>
    <m/>
    <m/>
    <m/>
    <m/>
    <s v="ㅇ"/>
    <s v="ㅇ"/>
  </r>
  <r>
    <n v="433"/>
    <x v="433"/>
    <n v="469"/>
    <x v="8"/>
    <n v="1"/>
    <x v="72"/>
    <x v="433"/>
    <s v="동대문구 답십리로 69길 106"/>
    <s v="㈜미래비엠"/>
    <n v="5.0999999999999996"/>
    <n v="21"/>
    <n v="4.1176470588235299"/>
    <n v="0.98039215686274517"/>
    <m/>
    <n v="0"/>
    <n v="0"/>
    <n v="3.5740799999999999"/>
    <m/>
    <s v="-"/>
    <s v="-"/>
    <s v="-"/>
    <s v="-"/>
    <s v="-"/>
    <n v="5956.8"/>
    <n v="30"/>
    <n v="0"/>
    <n v="0.999"/>
    <n v="0.97"/>
    <n v="5772.3179039999995"/>
    <n v="2346"/>
    <n v="2346"/>
    <n v="2346"/>
    <n v="2462"/>
    <n v="2709"/>
    <n v="3934"/>
    <n v="0.68152864506542266"/>
    <s v="원인미상"/>
    <s v="기상의 영향"/>
    <s v="x"/>
    <m/>
    <m/>
    <m/>
    <m/>
    <s v="ㅇ"/>
    <s v="ㅇ"/>
  </r>
  <r>
    <n v="436"/>
    <x v="434"/>
    <n v="438"/>
    <x v="8"/>
    <n v="1"/>
    <x v="71"/>
    <x v="434"/>
    <s v="강남구 광평로 59길 57"/>
    <s v="동진전설㈜"/>
    <n v="74.2"/>
    <n v="175"/>
    <n v="2.3584905660377355"/>
    <n v="0.56154537286612749"/>
    <m/>
    <n v="5.3"/>
    <n v="14.285714285714285"/>
    <n v="46.699360000000006"/>
    <s v="16~18년 안전관리+유지관리 / 19~20년 안전관리"/>
    <n v="1"/>
    <n v="1"/>
    <n v="1"/>
    <n v="1"/>
    <n v="1.3"/>
    <n v="86665.600000000006"/>
    <m/>
    <m/>
    <n v="1"/>
    <n v="0.97"/>
    <n v="84065.631999999998"/>
    <n v="75762"/>
    <n v="67122"/>
    <n v="33566"/>
    <n v="44763"/>
    <n v="55833"/>
    <n v="82804"/>
    <n v="0.98499229744683303"/>
    <m/>
    <s v="16~18년, 유지관리+안전관리대행 동시용역, 19년 부터 안전관리대행 용역만 진행"/>
    <s v="x"/>
    <m/>
    <m/>
    <m/>
    <m/>
    <s v="x"/>
    <s v="x"/>
  </r>
  <r>
    <n v="434"/>
    <x v="435"/>
    <n v="441"/>
    <x v="8"/>
    <n v="11"/>
    <x v="71"/>
    <x v="435"/>
    <s v="면목로 57길 32"/>
    <s v="㈜트윈스컴"/>
    <n v="63.75"/>
    <n v="147"/>
    <n v="2.3058823529411763"/>
    <n v="0.54901960784313719"/>
    <m/>
    <n v="5.3"/>
    <n v="16.627450980392155"/>
    <n v="39.376000000000005"/>
    <s v="16~18년 안전관리+유지관리 / 19~20년 안전관리"/>
    <n v="1"/>
    <n v="1"/>
    <n v="1"/>
    <n v="1"/>
    <n v="1.3"/>
    <n v="74460"/>
    <m/>
    <m/>
    <n v="1"/>
    <n v="0.97"/>
    <n v="72226.2"/>
    <n v="83426"/>
    <n v="87964"/>
    <n v="87643"/>
    <n v="77090"/>
    <n v="49386"/>
    <n v="78143"/>
    <n v="1.0819204111527396"/>
    <m/>
    <s v="16~18년, 유지관리+안전관리대행 동시용역, 19년 부터 안전관리대행 용역만 진행"/>
    <s v="x"/>
    <m/>
    <m/>
    <m/>
    <m/>
    <s v="x"/>
    <s v="x"/>
  </r>
  <r>
    <n v="435"/>
    <x v="436"/>
    <n v="439"/>
    <x v="8"/>
    <n v="11"/>
    <x v="71"/>
    <x v="436"/>
    <s v="강남구 개포로 410"/>
    <s v="㈜트윈스컴"/>
    <n v="63.75"/>
    <n v="135"/>
    <n v="2.1176470588235294"/>
    <n v="0.50420168067226889"/>
    <m/>
    <n v="5.3"/>
    <n v="16.627450980392155"/>
    <n v="39.376000000000005"/>
    <s v="16~18년 안전관리+유지관리 / 19~20년 안전관리"/>
    <n v="1"/>
    <n v="1"/>
    <n v="1"/>
    <n v="1"/>
    <n v="1.3"/>
    <n v="74460"/>
    <m/>
    <m/>
    <n v="1"/>
    <n v="0.97"/>
    <n v="72226.2"/>
    <n v="80569"/>
    <n v="83982"/>
    <n v="80780"/>
    <n v="49892"/>
    <n v="47157"/>
    <n v="73871"/>
    <n v="1.0227728995849152"/>
    <m/>
    <s v="16~18년, 유지관리+안전관리대행 동시용역, 19년 부터 안전관리대행 용역만 진행"/>
    <s v="x"/>
    <m/>
    <m/>
    <m/>
    <m/>
    <s v="x"/>
    <s v="x"/>
  </r>
  <r>
    <n v="437"/>
    <x v="437"/>
    <n v="440"/>
    <x v="8"/>
    <n v="11"/>
    <x v="71"/>
    <x v="437"/>
    <s v="중랑구 신내동 63-10"/>
    <s v="㈜트윈스컴"/>
    <n v="20"/>
    <n v="52"/>
    <n v="2.6"/>
    <n v="0.61904761904761907"/>
    <m/>
    <n v="5.3"/>
    <n v="53.000000000000007"/>
    <n v="8.7160000000000011"/>
    <s v="16~18년 안전관리+유지관리 / 19~20년 안전관리"/>
    <n v="1"/>
    <n v="1"/>
    <n v="1"/>
    <n v="1"/>
    <n v="1.3"/>
    <n v="23360"/>
    <m/>
    <m/>
    <n v="1"/>
    <n v="0.97"/>
    <n v="22659.200000000001"/>
    <n v="24183"/>
    <n v="24984"/>
    <n v="24131"/>
    <n v="22695"/>
    <n v="14869"/>
    <n v="23280"/>
    <n v="1.0273972602739725"/>
    <m/>
    <s v="16~18년, 유지관리+안전관리대행 동시용역, 19년 부터 안전관리대행 용역만 진행"/>
    <s v="x"/>
    <m/>
    <m/>
    <m/>
    <m/>
    <s v="x"/>
    <s v="x"/>
  </r>
  <r>
    <n v="439"/>
    <x v="438"/>
    <n v="499"/>
    <x v="8"/>
    <n v="11"/>
    <x v="23"/>
    <x v="438"/>
    <s v="중구 을지로11길 23"/>
    <s v="㈜ 다쓰테크"/>
    <n v="20"/>
    <n v="53"/>
    <n v="2.65"/>
    <n v="0.63095238095238093"/>
    <m/>
    <n v="0"/>
    <n v="0"/>
    <n v="14.016"/>
    <m/>
    <s v="-"/>
    <s v="-"/>
    <s v="-"/>
    <s v="-"/>
    <s v="-"/>
    <n v="23360"/>
    <m/>
    <m/>
    <n v="1"/>
    <n v="0.97"/>
    <n v="22659.200000000001"/>
    <n v="19300"/>
    <n v="20800"/>
    <n v="22000"/>
    <n v="21100"/>
    <n v="10800"/>
    <n v="21300"/>
    <n v="0.94001553452902131"/>
    <m/>
    <m/>
    <s v="x"/>
    <m/>
    <m/>
    <m/>
    <m/>
    <s v="ㅇ"/>
    <s v="ㅇ"/>
  </r>
  <r>
    <n v="440"/>
    <x v="439"/>
    <n v="507"/>
    <x v="8"/>
    <n v="6"/>
    <x v="49"/>
    <x v="439"/>
    <s v="구로구 경인로 408"/>
    <s v="유니테스트"/>
    <n v="24"/>
    <n v="78"/>
    <n v="3.25"/>
    <n v="0.77380952380952372"/>
    <m/>
    <n v="0"/>
    <n v="0"/>
    <n v="16.819200000000002"/>
    <m/>
    <s v="-"/>
    <s v="-"/>
    <s v="-"/>
    <s v="-"/>
    <s v="-"/>
    <n v="28032.000000000004"/>
    <n v="0"/>
    <n v="-20"/>
    <n v="0.88400000000000001"/>
    <n v="0.97"/>
    <n v="24036.879360000003"/>
    <n v="28500"/>
    <n v="30600"/>
    <n v="27300"/>
    <n v="29800"/>
    <n v="14168"/>
    <n v="22858"/>
    <n v="0.95095539057529299"/>
    <m/>
    <m/>
    <s v="x"/>
    <m/>
    <m/>
    <m/>
    <m/>
    <s v="ㅇ"/>
    <s v="ㅇ"/>
  </r>
  <r>
    <n v="441"/>
    <x v="440"/>
    <n v="530"/>
    <x v="8"/>
    <n v="9"/>
    <x v="49"/>
    <x v="440"/>
    <s v="은평구 통일로 962"/>
    <s v="이엔에이치㈜"/>
    <n v="72"/>
    <n v="225"/>
    <n v="3.125"/>
    <n v="0.74404761904761907"/>
    <m/>
    <n v="0"/>
    <n v="0"/>
    <n v="50.457599999999999"/>
    <m/>
    <s v="-"/>
    <s v="-"/>
    <s v="-"/>
    <s v="-"/>
    <s v="-"/>
    <n v="84096"/>
    <n v="0"/>
    <n v="-10"/>
    <n v="0.88400000000000001"/>
    <n v="0.97"/>
    <n v="72110.638080000004"/>
    <n v="101158"/>
    <n v="96575"/>
    <n v="95350"/>
    <n v="78230"/>
    <n v="50677"/>
    <n v="74137.97"/>
    <n v="1.0281141863943966"/>
    <m/>
    <m/>
    <s v="x"/>
    <m/>
    <m/>
    <m/>
    <m/>
    <s v="ㅇ"/>
    <s v="ㅇ"/>
  </r>
  <r>
    <n v="442"/>
    <x v="441"/>
    <n v="549"/>
    <x v="8"/>
    <n v="8"/>
    <x v="50"/>
    <x v="441"/>
    <s v="동대문구 서울시립대로 163"/>
    <s v="에디슨솔라이텍㈜"/>
    <n v="30"/>
    <n v="93.930999999999997"/>
    <n v="3.1310333333333333"/>
    <n v="0.74548412698412692"/>
    <m/>
    <n v="0"/>
    <n v="0"/>
    <n v="21.024000000000001"/>
    <m/>
    <s v="-"/>
    <s v="-"/>
    <s v="-"/>
    <s v="-"/>
    <s v="-"/>
    <n v="35040"/>
    <m/>
    <m/>
    <n v="1"/>
    <n v="0.97"/>
    <n v="33988.799999999996"/>
    <n v="45080"/>
    <n v="41680"/>
    <n v="42080"/>
    <n v="40335"/>
    <n v="23615"/>
    <n v="38424"/>
    <n v="1.1304900437791274"/>
    <m/>
    <m/>
    <s v="x"/>
    <m/>
    <m/>
    <m/>
    <m/>
    <s v="ㅇ"/>
    <s v="ㅇ"/>
  </r>
  <r>
    <n v="443"/>
    <x v="442"/>
    <n v="476"/>
    <x v="8"/>
    <n v="2"/>
    <x v="73"/>
    <x v="442"/>
    <s v="성동구 왕십리로 27/(성수1가1동 642-1)"/>
    <s v="케이디파워"/>
    <n v="6"/>
    <n v="32"/>
    <n v="5.333333333333333"/>
    <n v="1.2698412698412698"/>
    <s v="구조물"/>
    <n v="0"/>
    <n v="0"/>
    <n v="4.2048000000000005"/>
    <m/>
    <m/>
    <m/>
    <m/>
    <m/>
    <m/>
    <n v="7008.0000000000009"/>
    <n v="90"/>
    <n v="0"/>
    <n v="0.68400000000000005"/>
    <n v="0.97"/>
    <n v="4649.667840000001"/>
    <n v="3756.5"/>
    <n v="3756.5"/>
    <n v="3756.5"/>
    <n v="3756.5"/>
    <n v="1300"/>
    <n v="3731"/>
    <n v="0.80242291027825319"/>
    <m/>
    <s v="BIPV형태로 경사각이 90도"/>
    <s v="x"/>
    <m/>
    <m/>
    <m/>
    <m/>
    <s v="ㅇ"/>
    <s v="ㅇ"/>
  </r>
  <r>
    <n v="444"/>
    <x v="443"/>
    <n v="551"/>
    <x v="8"/>
    <n v="8"/>
    <x v="61"/>
    <x v="443"/>
    <s v="서초구 헌릉로 260"/>
    <s v="㈜에스피브이"/>
    <n v="20.6"/>
    <n v="70"/>
    <n v="3.3980582524271843"/>
    <n v="0.8090614886731391"/>
    <m/>
    <n v="0"/>
    <n v="0"/>
    <n v="14.43648"/>
    <m/>
    <s v="-"/>
    <s v="-"/>
    <s v="-"/>
    <s v="-"/>
    <s v="-"/>
    <n v="24060.799999999999"/>
    <n v="40"/>
    <n v="-20"/>
    <n v="0.98499999999999999"/>
    <n v="0.97"/>
    <n v="22988.891359999998"/>
    <n v="27054"/>
    <n v="28246"/>
    <n v="28151"/>
    <n v="27276"/>
    <n v="17060"/>
    <n v="26988"/>
    <n v="1.1739583078355111"/>
    <m/>
    <m/>
    <s v="x"/>
    <m/>
    <m/>
    <m/>
    <m/>
    <s v="ㅇ"/>
    <s v="ㅇ"/>
  </r>
  <r>
    <n v="445"/>
    <x v="444"/>
    <n v="535"/>
    <x v="8"/>
    <n v="9"/>
    <x v="74"/>
    <x v="444"/>
    <s v="송파구 올림픽로 424"/>
    <s v="삼광산전"/>
    <n v="39"/>
    <n v="115.8695652173913"/>
    <n v="2.9710144927536231"/>
    <n v="0.7073844030365769"/>
    <m/>
    <n v="0"/>
    <n v="0"/>
    <n v="27.331200000000003"/>
    <m/>
    <s v="-"/>
    <s v="-"/>
    <s v="-"/>
    <s v="-"/>
    <s v="-"/>
    <n v="45552.000000000007"/>
    <n v="5"/>
    <n v="10"/>
    <n v="0.94099999999999995"/>
    <n v="0.97"/>
    <n v="41578.499040000002"/>
    <n v="45432"/>
    <n v="44702"/>
    <n v="37772"/>
    <n v="44773"/>
    <n v="28075"/>
    <n v="43627"/>
    <n v="1.049268275846833"/>
    <m/>
    <m/>
    <s v="x"/>
    <m/>
    <m/>
    <m/>
    <m/>
    <s v="ㅇ"/>
    <s v="ㅇ"/>
  </r>
  <r>
    <n v="446"/>
    <x v="445"/>
    <n v="437"/>
    <x v="8"/>
    <n v="9"/>
    <x v="74"/>
    <x v="445"/>
    <s v="송파구 위례성대로 71 방이동 88-20 한성백제박물관"/>
    <s v="㈜삼광산전"/>
    <n v="30"/>
    <n v="89.130434782608688"/>
    <n v="2.9710144927536231"/>
    <n v="0.7073844030365769"/>
    <m/>
    <n v="0"/>
    <n v="0"/>
    <n v="21.024000000000001"/>
    <m/>
    <s v="-"/>
    <s v="-"/>
    <s v="-"/>
    <s v="-"/>
    <s v="-"/>
    <n v="35040"/>
    <n v="30"/>
    <n v="90"/>
    <n v="0.84699999999999998"/>
    <n v="0.97"/>
    <n v="28788.513599999998"/>
    <n v="27861"/>
    <n v="26945"/>
    <n v="26922"/>
    <n v="25664"/>
    <n v="15904"/>
    <n v="23384"/>
    <n v="0.81226840415963686"/>
    <m/>
    <s v="1.방위각이 정서향으로 일조량에 따라 효율저하 발생(한성백제박물관 몽촌토성을 형상화한 건축물로 디자인에 영향이 있어 방위각 조정이 불가함)_x000a__x000a_2.인버터 1회 고장발생(6월)"/>
    <s v="ㅇ"/>
    <s v="인버터"/>
    <n v="0.4"/>
    <n v="1"/>
    <m/>
    <s v="ㅇ"/>
    <s v="ㅇ"/>
  </r>
  <r>
    <n v="447"/>
    <x v="446"/>
    <n v="475"/>
    <x v="8"/>
    <n v="1"/>
    <x v="5"/>
    <x v="446"/>
    <s v="중구 동호로 241"/>
    <s v="에디슨솔라이텍㈜"/>
    <n v="20"/>
    <n v="177"/>
    <n v="8.85"/>
    <n v="2.1071428571428568"/>
    <s v="구조물"/>
    <n v="0"/>
    <n v="0"/>
    <n v="14.016"/>
    <m/>
    <s v="-"/>
    <s v="-"/>
    <s v="-"/>
    <s v="-"/>
    <s v="-"/>
    <n v="23360"/>
    <n v="65"/>
    <n v="-55"/>
    <n v="0.82"/>
    <n v="0.97"/>
    <n v="18580.543999999998"/>
    <n v="15602"/>
    <n v="16141"/>
    <n v="16147"/>
    <n v="15087"/>
    <n v="8994"/>
    <n v="14891"/>
    <n v="0.8014297105617576"/>
    <m/>
    <s v="돔 지붕 측면(남동) 및 설치 위치에 따른 일사량 부족으로 감소"/>
    <s v="x"/>
    <m/>
    <m/>
    <m/>
    <m/>
    <s v="ㅇ"/>
    <s v="ㅇ"/>
  </r>
  <r>
    <n v="448"/>
    <x v="447"/>
    <n v="450"/>
    <x v="8"/>
    <n v="6"/>
    <x v="5"/>
    <x v="447"/>
    <s v="구로구 경인로 430"/>
    <s v="현대산업개발"/>
    <n v="225"/>
    <n v="740"/>
    <n v="3.2888888888888888"/>
    <n v="0.78306878306878303"/>
    <m/>
    <n v="1.5"/>
    <n v="1.3333333333333335"/>
    <n v="156.18"/>
    <s v="안전관리"/>
    <s v="-"/>
    <s v="-"/>
    <n v="0.5"/>
    <n v="0.5"/>
    <n v="0.5"/>
    <n v="262800"/>
    <m/>
    <m/>
    <n v="1"/>
    <n v="0.97"/>
    <n v="254916"/>
    <n v="263301"/>
    <n v="276910"/>
    <n v="273698"/>
    <n v="250688"/>
    <n v="149417"/>
    <n v="236635"/>
    <n v="0.92828618054574841"/>
    <m/>
    <s v="18.11월 전지판 및 연결부재(7개소) 수리 및 19년, 20년 인버터 및 모듈 소모품 교체"/>
    <s v="ㅇ"/>
    <s v="기타"/>
    <n v="0.5"/>
    <n v="1"/>
    <m/>
    <s v="ㅇ"/>
    <s v="ㅇ"/>
  </r>
  <r>
    <n v="450"/>
    <x v="448"/>
    <n v="554"/>
    <x v="8"/>
    <n v="1"/>
    <x v="31"/>
    <x v="448"/>
    <s v="강서구 발산로40"/>
    <s v="이솔라텍㈜"/>
    <n v="26.25"/>
    <n v="73"/>
    <n v="2.7809523809523808"/>
    <n v="0.66213151927437641"/>
    <s v="BIPV"/>
    <n v="0"/>
    <n v="0"/>
    <n v="18.396000000000001"/>
    <m/>
    <s v="-"/>
    <s v="-"/>
    <s v="-"/>
    <s v="-"/>
    <s v="-"/>
    <n v="30660"/>
    <n v="10"/>
    <n v="-90"/>
    <n v="0.88"/>
    <n v="0.97"/>
    <n v="26171.376"/>
    <n v="32568"/>
    <n v="33991"/>
    <n v="16199"/>
    <n v="31314"/>
    <n v="19500"/>
    <n v="30898"/>
    <n v="1.1806028081977806"/>
    <m/>
    <m/>
    <s v="x"/>
    <m/>
    <m/>
    <m/>
    <m/>
    <s v="ㅇ"/>
    <s v="ㅇ"/>
  </r>
  <r>
    <n v="449"/>
    <x v="449"/>
    <n v="525"/>
    <x v="8"/>
    <n v="2"/>
    <x v="31"/>
    <x v="449"/>
    <s v="송파구 양재대로 932"/>
    <s v="㈜광명전기"/>
    <n v="50.4"/>
    <n v="165"/>
    <n v="3.2738095238095237"/>
    <n v="0.77947845804988658"/>
    <m/>
    <n v="0"/>
    <n v="0"/>
    <n v="35.320320000000002"/>
    <m/>
    <s v="-"/>
    <s v="-"/>
    <s v="-"/>
    <s v="-"/>
    <s v="-"/>
    <n v="58867.199999999997"/>
    <m/>
    <m/>
    <n v="1"/>
    <n v="0.97"/>
    <n v="57101.183999999994"/>
    <n v="49817"/>
    <n v="62441"/>
    <n v="61122"/>
    <n v="59072.000000000007"/>
    <n v="36838"/>
    <n v="58261"/>
    <n v="1.0203115928384252"/>
    <m/>
    <m/>
    <s v="x"/>
    <m/>
    <m/>
    <m/>
    <m/>
    <s v="ㅇ"/>
    <s v="ㅇ"/>
  </r>
  <r>
    <n v="451"/>
    <x v="450"/>
    <n v="434"/>
    <x v="8"/>
    <n v="6"/>
    <x v="32"/>
    <x v="450"/>
    <s v="경기도 고양시 삼송로 300"/>
    <s v="GS ITM"/>
    <n v="1992"/>
    <n v="3117"/>
    <n v="1.5647590361445782"/>
    <n v="0.3725616752725186"/>
    <m/>
    <n v="73.2"/>
    <n v="7.3493975903614457"/>
    <n v="1322.7936"/>
    <s v="안전관리, 임차료, 통신비, 보험료 등"/>
    <s v="-"/>
    <s v="-"/>
    <n v="17"/>
    <n v="27.4"/>
    <n v="28.8"/>
    <n v="2326656"/>
    <n v="20"/>
    <n v="20"/>
    <n v="0.97499999999999998"/>
    <n v="0.97"/>
    <n v="2200434.912"/>
    <n v="2621479"/>
    <n v="2671372"/>
    <n v="2658721"/>
    <n v="2583775"/>
    <n v="1582108"/>
    <n v="2761231"/>
    <n v="1.254856930755696"/>
    <m/>
    <m/>
    <s v="x"/>
    <m/>
    <m/>
    <m/>
    <m/>
    <s v="x"/>
    <s v="x"/>
  </r>
  <r>
    <n v="453"/>
    <x v="451"/>
    <n v="436"/>
    <x v="8"/>
    <n v="9"/>
    <x v="32"/>
    <x v="451"/>
    <s v="경기도 의정부시 서계로42(장암동) 153,297"/>
    <s v="GS ITM"/>
    <n v="648"/>
    <n v="1206"/>
    <n v="1.8611111111111112"/>
    <n v="0.44312169312169314"/>
    <m/>
    <n v="13.563200000000002"/>
    <n v="4.186172839506173"/>
    <n v="440.55520000000001"/>
    <s v="안전관리, 임차료, 통신비, 보험료 등"/>
    <s v="-"/>
    <s v="-"/>
    <n v="4.5936000000000003"/>
    <n v="4.7696000000000005"/>
    <n v="4.2"/>
    <n v="756864"/>
    <n v="20"/>
    <n v="0"/>
    <n v="0.98099999999999998"/>
    <n v="0.97"/>
    <n v="720209.07647999993"/>
    <n v="814764"/>
    <n v="829017"/>
    <n v="824866"/>
    <n v="808416"/>
    <n v="509959"/>
    <n v="789867"/>
    <n v="1.0967190303410936"/>
    <m/>
    <m/>
    <s v="x"/>
    <m/>
    <m/>
    <m/>
    <m/>
    <s v="x"/>
    <s v="x"/>
  </r>
  <r>
    <n v="452"/>
    <x v="452"/>
    <n v="435"/>
    <x v="8"/>
    <n v="10"/>
    <x v="32"/>
    <x v="452"/>
    <s v="서울시 강서구 개화동로8길 28"/>
    <s v="GS ITM"/>
    <n v="990"/>
    <n v="1711"/>
    <n v="1.7282828282828282"/>
    <n v="0.41149591149591147"/>
    <m/>
    <n v="22.07152"/>
    <n v="4.4588929292929294"/>
    <n v="671.72048000000007"/>
    <s v="안전관리, 임차료, 통신비, 보험료 등"/>
    <s v="-"/>
    <s v="-"/>
    <n v="7.7500799999999996"/>
    <n v="7.9614399999999996"/>
    <n v="6.36"/>
    <n v="1156320"/>
    <n v="20"/>
    <n v="20"/>
    <n v="0.97499999999999998"/>
    <n v="0.97"/>
    <n v="1093589.6399999999"/>
    <n v="1320218"/>
    <n v="1373913"/>
    <n v="1346121"/>
    <n v="1307116"/>
    <n v="801813"/>
    <n v="1247496"/>
    <n v="1.1407350201305859"/>
    <m/>
    <m/>
    <s v="x"/>
    <m/>
    <m/>
    <m/>
    <m/>
    <s v="x"/>
    <s v="x"/>
  </r>
  <r>
    <n v="454"/>
    <x v="453"/>
    <n v="552"/>
    <x v="8"/>
    <n v="10"/>
    <x v="32"/>
    <x v="453"/>
    <s v="서울시 강동구 아리수로87길 32 (강일동)"/>
    <s v="GS ITM"/>
    <n v="612"/>
    <n v="1165"/>
    <n v="1.90359477124183"/>
    <n v="0.45323685029567379"/>
    <m/>
    <n v="14.223200000000002"/>
    <n v="4.6481045751633996"/>
    <n v="414.66639999999995"/>
    <s v="안전관리, 임차료, 통신비, 보험료 등"/>
    <s v="-"/>
    <s v="-"/>
    <n v="4.5936000000000003"/>
    <n v="4.6796000000000006"/>
    <n v="4.95"/>
    <n v="714816"/>
    <n v="20"/>
    <n v="0"/>
    <n v="0.98099999999999998"/>
    <n v="0.97"/>
    <n v="680197.46111999999"/>
    <n v="798145"/>
    <n v="826495"/>
    <n v="819092"/>
    <n v="803486"/>
    <n v="497769"/>
    <n v="773580"/>
    <n v="1.1372873969953345"/>
    <m/>
    <m/>
    <s v="ㅇ"/>
    <s v="기타"/>
    <n v="2.2000000000000002"/>
    <n v="1"/>
    <m/>
    <s v="x"/>
    <s v="x"/>
  </r>
  <r>
    <n v="455"/>
    <x v="454"/>
    <n v="444"/>
    <x v="8"/>
    <n v="10"/>
    <x v="33"/>
    <x v="454"/>
    <s v="종로구 지봉로5길 7-5"/>
    <s v="에스피브이㈜"/>
    <n v="14.4"/>
    <n v="136"/>
    <n v="9.4444444444444446"/>
    <n v="2.2486772486772488"/>
    <s v="구조물"/>
    <n v="0.54500000000000004"/>
    <n v="7.5694444444444455"/>
    <n v="9.5465199999999992"/>
    <m/>
    <s v="-"/>
    <s v="-"/>
    <s v="-"/>
    <n v="8.3000000000000004E-2"/>
    <n v="0.46200000000000002"/>
    <n v="16819.2"/>
    <n v="5"/>
    <n v="0"/>
    <n v="0.94199999999999995"/>
    <n v="0.97"/>
    <n v="15368.375807999999"/>
    <n v="12926"/>
    <n v="12556"/>
    <n v="12880"/>
    <n v="11763"/>
    <n v="6535"/>
    <n v="11684"/>
    <n v="0.76026251218543872"/>
    <s v="시설노후"/>
    <s v="환경 요인 및 경년 열화로 발전효율 저하"/>
    <s v="ㅇ"/>
    <s v="인버터"/>
    <n v="0.33"/>
    <n v="1"/>
    <m/>
    <s v="ㅇ"/>
    <s v="ㅇ"/>
  </r>
  <r>
    <n v="456"/>
    <x v="455"/>
    <n v="542"/>
    <x v="8"/>
    <n v="10"/>
    <x v="33"/>
    <x v="455"/>
    <s v="종로구 인왕산로1길 21"/>
    <s v="㈜에스피브이"/>
    <n v="28.8"/>
    <n v="136"/>
    <n v="4.7222222222222223"/>
    <n v="1.1243386243386244"/>
    <s v="구조물"/>
    <n v="0"/>
    <n v="0"/>
    <n v="20.183039999999998"/>
    <m/>
    <s v="-"/>
    <s v="-"/>
    <s v="-"/>
    <s v="-"/>
    <s v="-"/>
    <n v="33638.400000000001"/>
    <m/>
    <m/>
    <n v="1"/>
    <n v="0.97"/>
    <n v="32629.248"/>
    <n v="40501"/>
    <n v="37048"/>
    <n v="37385"/>
    <n v="36106"/>
    <n v="22722"/>
    <n v="35210"/>
    <n v="1.0790932110969889"/>
    <m/>
    <m/>
    <s v="x"/>
    <m/>
    <m/>
    <m/>
    <m/>
    <s v="ㅇ"/>
    <s v="ㅇ"/>
  </r>
  <r>
    <n v="457"/>
    <x v="456"/>
    <n v="498"/>
    <x v="8"/>
    <n v="10"/>
    <x v="33"/>
    <x v="456"/>
    <s v="종로구 낙산성곽동길 69"/>
    <s v="에스피브이㈜"/>
    <n v="6.3"/>
    <n v="45"/>
    <n v="7.1428571428571432"/>
    <n v="1.7006802721088436"/>
    <s v="구조물"/>
    <n v="0"/>
    <n v="0"/>
    <n v="4.4150400000000003"/>
    <m/>
    <s v="-"/>
    <s v="-"/>
    <s v="-"/>
    <s v="-"/>
    <s v="-"/>
    <n v="7358.4"/>
    <m/>
    <m/>
    <n v="1"/>
    <n v="0.97"/>
    <n v="7137.6479999999992"/>
    <n v="8429"/>
    <n v="8679"/>
    <n v="7248"/>
    <n v="7314"/>
    <n v="3972"/>
    <n v="6706"/>
    <n v="0.93952517692102511"/>
    <m/>
    <m/>
    <s v="x"/>
    <m/>
    <m/>
    <m/>
    <m/>
    <s v="ㅇ"/>
    <s v="ㅇ"/>
  </r>
  <r>
    <n v="459"/>
    <x v="457"/>
    <n v="539"/>
    <x v="8"/>
    <n v="11"/>
    <x v="54"/>
    <x v="457"/>
    <s v="중구 다산로38길 80"/>
    <s v="한양전공㈜"/>
    <n v="6"/>
    <n v="16"/>
    <n v="2.6666666666666665"/>
    <n v="0.63492063492063489"/>
    <m/>
    <n v="0"/>
    <n v="0"/>
    <n v="4.2048000000000005"/>
    <m/>
    <s v="-"/>
    <s v="-"/>
    <s v="-"/>
    <s v="-"/>
    <s v="-"/>
    <n v="7008.0000000000009"/>
    <m/>
    <m/>
    <n v="1"/>
    <n v="0.97"/>
    <n v="6797.7600000000011"/>
    <n v="3836"/>
    <n v="5840"/>
    <n v="6166"/>
    <n v="6337"/>
    <n v="4021"/>
    <n v="7236"/>
    <n v="1.0644682954384972"/>
    <m/>
    <m/>
    <s v="x"/>
    <m/>
    <m/>
    <m/>
    <m/>
    <s v="ㅇ"/>
    <s v="ㅇ"/>
  </r>
  <r>
    <n v="458"/>
    <x v="458"/>
    <n v="496"/>
    <x v="8"/>
    <n v="12"/>
    <x v="54"/>
    <x v="458"/>
    <s v="중구 동호로14길 18"/>
    <s v="한양전공㈜"/>
    <n v="10"/>
    <n v="33"/>
    <n v="3.3"/>
    <n v="0.78571428571428559"/>
    <m/>
    <n v="0"/>
    <n v="0"/>
    <n v="7.008"/>
    <m/>
    <s v="-"/>
    <s v="-"/>
    <s v="-"/>
    <s v="-"/>
    <s v="-"/>
    <n v="11680"/>
    <m/>
    <m/>
    <n v="1"/>
    <n v="0.97"/>
    <n v="11329.6"/>
    <n v="12940"/>
    <n v="14454"/>
    <n v="13029"/>
    <n v="9480"/>
    <n v="5993"/>
    <n v="10577"/>
    <n v="0.93357223555994917"/>
    <m/>
    <m/>
    <s v="x"/>
    <m/>
    <m/>
    <m/>
    <m/>
    <s v="ㅇ"/>
    <s v="ㅇ"/>
  </r>
  <r>
    <n v="460"/>
    <x v="459"/>
    <n v="477"/>
    <x v="8"/>
    <n v="12"/>
    <x v="54"/>
    <x v="459"/>
    <s v="퇴계로36길 42"/>
    <s v="한양전공㈜"/>
    <n v="15"/>
    <n v="40"/>
    <n v="2.6666666666666665"/>
    <n v="0.63492063492063489"/>
    <m/>
    <n v="0"/>
    <n v="0"/>
    <n v="10.512"/>
    <m/>
    <s v="-"/>
    <s v="-"/>
    <s v="-"/>
    <s v="-"/>
    <s v="-"/>
    <n v="17520"/>
    <m/>
    <m/>
    <n v="1"/>
    <n v="0.97"/>
    <n v="16994.399999999998"/>
    <n v="18019"/>
    <n v="15481"/>
    <n v="18879"/>
    <n v="13394"/>
    <s v="(누적)66,151"/>
    <n v="13695"/>
    <n v="0.80585369298121745"/>
    <m/>
    <m/>
    <s v="x"/>
    <m/>
    <m/>
    <m/>
    <m/>
    <s v="ㅇ"/>
    <s v="ㅇ"/>
  </r>
  <r>
    <n v="461"/>
    <x v="460"/>
    <n v="555"/>
    <x v="8"/>
    <n v="11"/>
    <x v="34"/>
    <x v="460"/>
    <s v="용산구 효창원로 93길51"/>
    <s v="㈜세화에너지산업"/>
    <n v="15"/>
    <n v="46"/>
    <n v="3.0666666666666669"/>
    <n v="0.73015873015873023"/>
    <m/>
    <n v="0"/>
    <n v="0"/>
    <n v="10.512"/>
    <m/>
    <s v="-"/>
    <s v="-"/>
    <s v="-"/>
    <s v="-"/>
    <s v="-"/>
    <n v="17520"/>
    <m/>
    <m/>
    <n v="1"/>
    <n v="0.97"/>
    <n v="16994.399999999998"/>
    <n v="20562"/>
    <n v="21489"/>
    <n v="14016"/>
    <n v="13140"/>
    <n v="7884"/>
    <n v="20232"/>
    <n v="1.1905098149978819"/>
    <m/>
    <m/>
    <s v="x"/>
    <m/>
    <m/>
    <m/>
    <m/>
    <s v="ㅇ"/>
    <s v="ㅇ"/>
  </r>
  <r>
    <n v="462"/>
    <x v="461"/>
    <n v="511"/>
    <x v="8"/>
    <n v="10"/>
    <x v="55"/>
    <x v="461"/>
    <s v="성동구 마조로11길 6"/>
    <s v="㈜거창"/>
    <n v="44"/>
    <n v="150"/>
    <n v="3.4090909090909092"/>
    <n v="0.81168831168831168"/>
    <m/>
    <n v="0"/>
    <n v="0"/>
    <n v="30.835200000000004"/>
    <m/>
    <s v="-"/>
    <s v="-"/>
    <s v="-"/>
    <s v="-"/>
    <s v="-"/>
    <n v="51392.000000000007"/>
    <m/>
    <m/>
    <n v="1"/>
    <n v="0.97"/>
    <n v="49850.240000000005"/>
    <n v="53518"/>
    <n v="55629"/>
    <n v="54800"/>
    <n v="55534"/>
    <n v="30116"/>
    <n v="48158"/>
    <n v="0.96605352351362794"/>
    <m/>
    <m/>
    <s v="x"/>
    <m/>
    <m/>
    <m/>
    <m/>
    <s v="ㅇ"/>
    <s v="ㅇ"/>
  </r>
  <r>
    <n v="463"/>
    <x v="462"/>
    <n v="520"/>
    <x v="8"/>
    <n v="10"/>
    <x v="55"/>
    <x v="462"/>
    <s v="성동구 고산자로26길 6"/>
    <s v="㈜거창"/>
    <n v="8"/>
    <n v="30"/>
    <n v="3.75"/>
    <n v="0.89285714285714279"/>
    <m/>
    <n v="0"/>
    <n v="0"/>
    <n v="5.6063999999999998"/>
    <m/>
    <s v="-"/>
    <s v="-"/>
    <s v="-"/>
    <s v="-"/>
    <s v="-"/>
    <n v="9344"/>
    <m/>
    <m/>
    <n v="1"/>
    <n v="0.97"/>
    <n v="9063.68"/>
    <n v="9491"/>
    <n v="9661"/>
    <n v="10230"/>
    <n v="10122"/>
    <n v="5643"/>
    <n v="8989"/>
    <n v="0.99176052111283719"/>
    <m/>
    <m/>
    <s v="x"/>
    <m/>
    <m/>
    <m/>
    <m/>
    <s v="ㅇ"/>
    <s v="ㅇ"/>
  </r>
  <r>
    <n v="464"/>
    <x v="463"/>
    <n v="490"/>
    <x v="8"/>
    <n v="10"/>
    <x v="55"/>
    <x v="463"/>
    <s v="성동구 광나루로4가길 23"/>
    <s v="㈜거창"/>
    <n v="13"/>
    <n v="50"/>
    <n v="3.8461538461538463"/>
    <n v="0.91575091575091572"/>
    <m/>
    <n v="0"/>
    <n v="0"/>
    <n v="9.1104000000000003"/>
    <m/>
    <s v="-"/>
    <s v="-"/>
    <s v="-"/>
    <s v="-"/>
    <s v="-"/>
    <n v="15184"/>
    <m/>
    <m/>
    <n v="1"/>
    <n v="0.97"/>
    <n v="14728.48"/>
    <n v="15536"/>
    <n v="15475"/>
    <n v="16624"/>
    <n v="16791"/>
    <n v="9036"/>
    <n v="13583"/>
    <n v="0.92222686930355346"/>
    <m/>
    <m/>
    <s v="x"/>
    <m/>
    <m/>
    <m/>
    <m/>
    <s v="ㅇ"/>
    <s v="ㅇ"/>
  </r>
  <r>
    <n v="465"/>
    <x v="464"/>
    <n v="497"/>
    <x v="8"/>
    <n v="10"/>
    <x v="55"/>
    <x v="464"/>
    <s v="성동구 성수2가 302-25"/>
    <s v="이엔에이치㈜"/>
    <n v="2"/>
    <n v="7"/>
    <n v="3.5"/>
    <n v="0.83333333333333326"/>
    <m/>
    <n v="0"/>
    <n v="0"/>
    <n v="1.4016"/>
    <m/>
    <s v="-"/>
    <s v="-"/>
    <s v="-"/>
    <s v="-"/>
    <s v="-"/>
    <n v="2336"/>
    <m/>
    <m/>
    <n v="1"/>
    <n v="0.97"/>
    <n v="2265.92"/>
    <n v="0"/>
    <n v="0"/>
    <s v="-"/>
    <s v="-"/>
    <s v="(누적)10,628"/>
    <n v="2125"/>
    <n v="0.93780892529303772"/>
    <m/>
    <m/>
    <s v="x"/>
    <m/>
    <m/>
    <m/>
    <m/>
    <s v="ㅇ"/>
    <s v="ㅇ"/>
  </r>
  <r>
    <n v="466"/>
    <x v="465"/>
    <n v="482"/>
    <x v="8"/>
    <n v="11"/>
    <x v="13"/>
    <x v="465"/>
    <s v="광진구 천호대로 788"/>
    <s v="㈜한국스카다"/>
    <n v="30"/>
    <n v="92"/>
    <n v="3.0666666666666669"/>
    <n v="0.73015873015873023"/>
    <m/>
    <n v="0"/>
    <n v="0"/>
    <n v="21.024000000000001"/>
    <m/>
    <m/>
    <m/>
    <m/>
    <m/>
    <m/>
    <n v="35040"/>
    <m/>
    <m/>
    <n v="1"/>
    <n v="0.97"/>
    <n v="33988.799999999996"/>
    <n v="32147"/>
    <n v="33006"/>
    <n v="32167"/>
    <n v="32168"/>
    <n v="18874"/>
    <n v="29221"/>
    <n v="0.85972437979569749"/>
    <m/>
    <s v="월별 발전 효율이 상이함"/>
    <s v="x"/>
    <m/>
    <m/>
    <m/>
    <m/>
    <s v="ㅇ"/>
    <s v="ㅇ"/>
  </r>
  <r>
    <n v="467"/>
    <x v="466"/>
    <n v="495"/>
    <x v="8"/>
    <n v="11"/>
    <x v="13"/>
    <x v="466"/>
    <s v="광진구 천호대로 788"/>
    <s v="㈜한국스카다"/>
    <n v="60"/>
    <n v="188"/>
    <n v="3.1333333333333333"/>
    <n v="0.74603174603174605"/>
    <m/>
    <n v="0"/>
    <n v="0"/>
    <n v="42.048000000000002"/>
    <m/>
    <m/>
    <m/>
    <m/>
    <m/>
    <m/>
    <n v="70080"/>
    <m/>
    <m/>
    <n v="1"/>
    <n v="0.97"/>
    <n v="67977.599999999991"/>
    <n v="61643"/>
    <n v="62264"/>
    <n v="63577"/>
    <n v="63562"/>
    <n v="30000"/>
    <n v="63346"/>
    <n v="0.93186579108412193"/>
    <m/>
    <m/>
    <s v="x"/>
    <m/>
    <m/>
    <m/>
    <m/>
    <s v="ㅇ"/>
    <s v="ㅇ"/>
  </r>
  <r>
    <n v="468"/>
    <x v="467"/>
    <n v="548"/>
    <x v="8"/>
    <n v="8"/>
    <x v="35"/>
    <x v="467"/>
    <s v="동대문구 천호대로27길 35 (용두동 792-5)"/>
    <s v="영동테크원㈜"/>
    <n v="10"/>
    <n v="29"/>
    <n v="2.9"/>
    <n v="0.69047619047619047"/>
    <m/>
    <n v="0"/>
    <n v="0"/>
    <n v="7.008"/>
    <m/>
    <s v="-"/>
    <s v="-"/>
    <s v="-"/>
    <s v="-"/>
    <s v="-"/>
    <n v="11680"/>
    <n v="15"/>
    <n v="3"/>
    <n v="0.96399999999999997"/>
    <n v="0.97"/>
    <n v="10921.734399999999"/>
    <n v="12968"/>
    <n v="13139"/>
    <n v="13319"/>
    <n v="11813"/>
    <n v="7779"/>
    <n v="12286"/>
    <n v="1.1249129076055906"/>
    <m/>
    <m/>
    <s v="x"/>
    <m/>
    <m/>
    <m/>
    <m/>
    <s v="ㅇ"/>
    <s v="ㅇ"/>
  </r>
  <r>
    <n v="472"/>
    <x v="468"/>
    <n v="443"/>
    <x v="8"/>
    <n v="8"/>
    <x v="35"/>
    <x v="468"/>
    <s v="동대문구 한천로18길 48 (장안동 395-2)"/>
    <s v="영동테크원㈜"/>
    <n v="30"/>
    <n v="88"/>
    <n v="2.9333333333333331"/>
    <n v="0.69841269841269837"/>
    <m/>
    <n v="4.08"/>
    <n v="27.200000000000003"/>
    <n v="16.944000000000003"/>
    <s v="안전관리"/>
    <n v="0.84"/>
    <n v="0.84"/>
    <n v="0.8"/>
    <n v="0.8"/>
    <n v="0.8"/>
    <n v="35040"/>
    <n v="21"/>
    <n v="35"/>
    <n v="0.96599999999999997"/>
    <n v="0.97"/>
    <n v="32833.180800000002"/>
    <n v="34509"/>
    <n v="37817"/>
    <n v="38139"/>
    <n v="34033"/>
    <n v="22368"/>
    <n v="35164"/>
    <n v="1.0709897470549061"/>
    <m/>
    <m/>
    <s v="x"/>
    <m/>
    <m/>
    <m/>
    <m/>
    <s v="ㅇ"/>
    <s v="ㅇ"/>
  </r>
  <r>
    <n v="469"/>
    <x v="469"/>
    <n v="533"/>
    <x v="8"/>
    <n v="8"/>
    <x v="35"/>
    <x v="469"/>
    <s v="동대문구 사가정로 137 (전농동 688-2)"/>
    <s v="영동테크원㈜"/>
    <n v="15"/>
    <n v="44"/>
    <n v="2.9333333333333331"/>
    <n v="0.69841269841269837"/>
    <m/>
    <n v="0"/>
    <n v="0"/>
    <n v="10.512"/>
    <m/>
    <s v="-"/>
    <s v="-"/>
    <s v="-"/>
    <s v="-"/>
    <s v="-"/>
    <n v="17520"/>
    <n v="25"/>
    <n v="10"/>
    <n v="0.99099999999999999"/>
    <n v="0.97"/>
    <n v="16841.450399999998"/>
    <n v="15600"/>
    <n v="17366"/>
    <n v="17948"/>
    <n v="16153"/>
    <n v="10889"/>
    <n v="17545"/>
    <n v="1.0417748818118422"/>
    <m/>
    <m/>
    <s v="x"/>
    <m/>
    <m/>
    <m/>
    <m/>
    <s v="ㅇ"/>
    <s v="ㅇ"/>
  </r>
  <r>
    <n v="470"/>
    <x v="470"/>
    <n v="442"/>
    <x v="8"/>
    <n v="10"/>
    <x v="35"/>
    <x v="470"/>
    <s v="동대문구 천호대로71길 29 (답십리동 484-45)"/>
    <s v="㈜한국스카다"/>
    <n v="25"/>
    <n v="76"/>
    <n v="3.04"/>
    <n v="0.72380952380952379"/>
    <m/>
    <n v="4.548"/>
    <n v="36.384"/>
    <n v="12.972"/>
    <s v="안전관리"/>
    <n v="0.92400000000000004"/>
    <n v="0.92400000000000004"/>
    <n v="0.9"/>
    <n v="0.9"/>
    <n v="0.9"/>
    <n v="29200"/>
    <n v="11"/>
    <n v="45"/>
    <n v="0.92"/>
    <n v="0.97"/>
    <n v="26058.079999999998"/>
    <n v="29200"/>
    <n v="26308"/>
    <n v="27179"/>
    <n v="25912"/>
    <n v="16997"/>
    <n v="17997"/>
    <n v="0.69064950295647265"/>
    <s v="시설정비"/>
    <s v="10/04 10시 이후 인버터 고장--&gt; 수리했는지?-?21년 1월에 인지하였으나 재산부서인 주차행정과 21년 예산 미반영, 21년 추경 시 꼭 반영 예정"/>
    <s v="x"/>
    <m/>
    <m/>
    <m/>
    <m/>
    <s v="ㅇ"/>
    <s v="ㅇ"/>
  </r>
  <r>
    <n v="471"/>
    <x v="471"/>
    <n v="458"/>
    <x v="8"/>
    <n v="10"/>
    <x v="35"/>
    <x v="471"/>
    <s v="동대문구 홍릉로12길 18 (청량리동 435)"/>
    <s v="㈜한국스카다"/>
    <n v="20"/>
    <n v="64"/>
    <n v="3.2"/>
    <n v="0.76190476190476186"/>
    <m/>
    <n v="4.548"/>
    <n v="45.48"/>
    <n v="9.468"/>
    <s v="안전관리"/>
    <n v="0.92400000000000004"/>
    <n v="0.92400000000000004"/>
    <n v="0.9"/>
    <n v="0.9"/>
    <n v="0.9"/>
    <n v="23360"/>
    <n v="11"/>
    <n v="-65"/>
    <n v="0.90100000000000002"/>
    <n v="0.97"/>
    <n v="20415.939200000001"/>
    <n v="18336"/>
    <n v="15529"/>
    <n v="17423"/>
    <n v="16602"/>
    <n v="7627.4"/>
    <n v="13570"/>
    <n v="0.66467674433513202"/>
    <s v="시설정비"/>
    <s v="01/09~04/07 인버터 고장"/>
    <s v="ㅇ"/>
    <s v="인버터"/>
    <n v="1"/>
    <n v="90"/>
    <m/>
    <s v="ㅇ"/>
    <s v="ㅇ"/>
  </r>
  <r>
    <n v="474"/>
    <x v="472"/>
    <n v="543"/>
    <x v="8"/>
    <n v="12"/>
    <x v="36"/>
    <x v="472"/>
    <s v="중랑구 용마산로94길 98"/>
    <s v="영동테크원㈜"/>
    <n v="15"/>
    <n v="41"/>
    <n v="2.7333333333333334"/>
    <n v="0.65079365079365081"/>
    <m/>
    <n v="0"/>
    <n v="0"/>
    <n v="10.512"/>
    <m/>
    <s v="-"/>
    <s v="-"/>
    <s v="-"/>
    <s v="-"/>
    <s v="-"/>
    <n v="17520"/>
    <m/>
    <m/>
    <n v="1"/>
    <n v="0.97"/>
    <n v="16994.399999999998"/>
    <n v="17533"/>
    <n v="18708"/>
    <n v="17896"/>
    <n v="18934"/>
    <n v="11205"/>
    <n v="18415"/>
    <n v="1.0835922421503557"/>
    <m/>
    <m/>
    <s v="x"/>
    <m/>
    <m/>
    <m/>
    <m/>
    <s v="ㅇ"/>
    <s v="ㅇ"/>
  </r>
  <r>
    <n v="473"/>
    <x v="473"/>
    <n v="480"/>
    <x v="8"/>
    <n v="7"/>
    <x v="36"/>
    <x v="473"/>
    <s v="중랑구 망우로67길 10"/>
    <s v="케이디파워㈜"/>
    <n v="44.52"/>
    <n v="174"/>
    <n v="3.9083557951482475"/>
    <n v="0.93056090360672561"/>
    <m/>
    <n v="0"/>
    <n v="0"/>
    <n v="31.199616000000006"/>
    <m/>
    <s v="-"/>
    <s v="-"/>
    <s v="-"/>
    <s v="-"/>
    <s v="-"/>
    <n v="51999.360000000008"/>
    <m/>
    <m/>
    <n v="1"/>
    <n v="0.97"/>
    <n v="50439.379200000003"/>
    <n v="23219"/>
    <n v="54171"/>
    <n v="10747"/>
    <n v="37298"/>
    <n v="25347"/>
    <n v="43137"/>
    <n v="0.85522464162286904"/>
    <m/>
    <m/>
    <s v="x"/>
    <m/>
    <m/>
    <m/>
    <m/>
    <s v="ㅇ"/>
    <s v="ㅇ"/>
  </r>
  <r>
    <n v="476"/>
    <x v="474"/>
    <n v="467"/>
    <x v="8"/>
    <n v="1"/>
    <x v="7"/>
    <x v="474"/>
    <s v="성북구 고려대로 16"/>
    <s v="㈜베스텍"/>
    <n v="21"/>
    <n v="158"/>
    <n v="7.5238095238095237"/>
    <n v="1.7913832199546484"/>
    <s v="구조물"/>
    <n v="0.157"/>
    <n v="1.4952380952380953"/>
    <n v="14.559799999999999"/>
    <m/>
    <s v="-"/>
    <s v="-"/>
    <s v="-"/>
    <s v="-"/>
    <n v="0.157"/>
    <n v="24528"/>
    <m/>
    <m/>
    <n v="1"/>
    <n v="0.97"/>
    <n v="23792.16"/>
    <n v="17434"/>
    <n v="31647"/>
    <n v="28332"/>
    <n v="27569"/>
    <n v="17054"/>
    <n v="26759"/>
    <n v="1.1246982199178217"/>
    <m/>
    <m/>
    <s v="x"/>
    <m/>
    <m/>
    <m/>
    <m/>
    <s v="ㅇ"/>
    <s v="ㅇ"/>
  </r>
  <r>
    <n v="479"/>
    <x v="475"/>
    <n v="457"/>
    <x v="8"/>
    <n v="1"/>
    <x v="7"/>
    <x v="475"/>
    <s v="강북구 덕릉로42길 49"/>
    <s v="㈜베스텍"/>
    <n v="25"/>
    <n v="99"/>
    <n v="3.96"/>
    <n v="0.94285714285714284"/>
    <m/>
    <n v="0.35699999999999998"/>
    <n v="2.8559999999999999"/>
    <n v="17.163"/>
    <m/>
    <s v="-"/>
    <s v="-"/>
    <s v="-"/>
    <n v="0.2"/>
    <n v="0.157"/>
    <n v="29200"/>
    <m/>
    <m/>
    <n v="1"/>
    <n v="0.97"/>
    <n v="28324"/>
    <n v="29200"/>
    <n v="24278"/>
    <n v="19886"/>
    <n v="24000"/>
    <n v="23742"/>
    <n v="30814"/>
    <n v="1.0879113119615873"/>
    <m/>
    <m/>
    <s v="x"/>
    <m/>
    <m/>
    <m/>
    <m/>
    <s v="ㅇ"/>
    <s v="ㅇ"/>
  </r>
  <r>
    <n v="477"/>
    <x v="476"/>
    <n v="451"/>
    <x v="8"/>
    <n v="10"/>
    <x v="7"/>
    <x v="476"/>
    <s v="성북구 장위동 157-1"/>
    <s v="윌링스"/>
    <n v="10"/>
    <n v="42"/>
    <n v="4.2"/>
    <n v="1"/>
    <m/>
    <n v="0.95700000000000007"/>
    <n v="19.14"/>
    <n v="6.0510000000000002"/>
    <s v="안전점검"/>
    <s v="-"/>
    <s v="-"/>
    <s v="-"/>
    <n v="0.8"/>
    <n v="0.157"/>
    <n v="11680"/>
    <n v="35"/>
    <n v="-50"/>
    <n v="0.94199999999999995"/>
    <n v="0.97"/>
    <n v="10672.483199999999"/>
    <n v="10877"/>
    <n v="10907"/>
    <n v="7094"/>
    <n v="6276"/>
    <n v="5908.34"/>
    <n v="7875"/>
    <n v="0.73787888464420359"/>
    <s v="주변환경 변화에 따른 음영"/>
    <s v="맞은편 아파트(2019 준공) 음영으로 인한 발전효율 하락"/>
    <s v="x"/>
    <m/>
    <m/>
    <m/>
    <m/>
    <s v="x"/>
    <s v="x"/>
  </r>
  <r>
    <n v="478"/>
    <x v="477"/>
    <n v="445"/>
    <x v="8"/>
    <n v="10"/>
    <x v="7"/>
    <x v="477"/>
    <s v="성북구 북악산로 949-73"/>
    <s v="㈜삼광산전"/>
    <n v="10"/>
    <n v="55"/>
    <n v="5.5"/>
    <n v="1.3095238095238095"/>
    <s v="구조물"/>
    <n v="0.95700000000000007"/>
    <n v="19.14"/>
    <n v="6.0510000000000002"/>
    <s v="안전점검"/>
    <s v="-"/>
    <s v="-"/>
    <s v="-"/>
    <n v="0.8"/>
    <n v="0.157"/>
    <n v="11680"/>
    <m/>
    <m/>
    <n v="1"/>
    <n v="0.97"/>
    <n v="11329.6"/>
    <n v="13151"/>
    <n v="13416"/>
    <n v="13462"/>
    <n v="12266"/>
    <n v="6932"/>
    <n v="10592"/>
    <n v="0.93489620110153926"/>
    <m/>
    <m/>
    <s v="ㅇ"/>
    <s v="인버터"/>
    <n v="0.45100000000000001"/>
    <n v="1"/>
    <m/>
    <s v="x"/>
    <s v="x"/>
  </r>
  <r>
    <n v="480"/>
    <x v="478"/>
    <n v="452"/>
    <x v="8"/>
    <n v="11"/>
    <x v="7"/>
    <x v="478"/>
    <s v="성북구 동소문로 260"/>
    <s v="㈜한국스카다"/>
    <n v="50"/>
    <n v="250"/>
    <n v="5"/>
    <n v="1.1904761904761905"/>
    <s v="구조물"/>
    <n v="0.95700000000000007"/>
    <n v="3.8280000000000003"/>
    <n v="34.082999999999998"/>
    <s v="안전점검"/>
    <s v="-"/>
    <s v="-"/>
    <s v="-"/>
    <n v="0.8"/>
    <n v="0.157"/>
    <n v="58400"/>
    <m/>
    <m/>
    <n v="1"/>
    <n v="0.97"/>
    <n v="56648"/>
    <n v="52931"/>
    <n v="59575"/>
    <n v="59341"/>
    <n v="57277"/>
    <n v="35849"/>
    <n v="52525"/>
    <n v="0.92721720096031635"/>
    <m/>
    <m/>
    <s v="x"/>
    <m/>
    <m/>
    <m/>
    <m/>
    <s v="x"/>
    <s v="x"/>
  </r>
  <r>
    <n v="475"/>
    <x v="479"/>
    <n v="466"/>
    <x v="8"/>
    <n v="12"/>
    <x v="7"/>
    <x v="479"/>
    <s v="성북구 아리랑로12길 4"/>
    <s v="㈜한국스카다"/>
    <n v="19.079999999999998"/>
    <n v="90"/>
    <n v="4.716981132075472"/>
    <n v="1.1230907457322552"/>
    <s v="구조물"/>
    <n v="0.157"/>
    <n v="1.6457023060796647"/>
    <n v="13.214264"/>
    <m/>
    <s v="-"/>
    <s v="-"/>
    <s v="-"/>
    <s v="-"/>
    <n v="0.157"/>
    <n v="22285.439999999999"/>
    <m/>
    <m/>
    <n v="1"/>
    <n v="0.97"/>
    <n v="21616.876799999998"/>
    <n v="14361"/>
    <n v="16431"/>
    <n v="15709"/>
    <n v="20805"/>
    <n v="13200"/>
    <n v="16001"/>
    <n v="0.74020868731601419"/>
    <s v="코로나19 휴관"/>
    <s v="코로나19로 인한 장기간 시설 미운영(20.8.~20.12., 4개월간)"/>
    <s v="x"/>
    <m/>
    <m/>
    <m/>
    <m/>
    <s v="ㅇ"/>
    <s v="ㅇ"/>
  </r>
  <r>
    <n v="483"/>
    <x v="480"/>
    <n v="550"/>
    <x v="8"/>
    <n v="9"/>
    <x v="37"/>
    <x v="480"/>
    <s v="강북구 삼양로64길 32014"/>
    <s v="유니테스트"/>
    <n v="9"/>
    <n v="26"/>
    <n v="2.8888888888888888"/>
    <n v="0.68783068783068779"/>
    <m/>
    <n v="0"/>
    <n v="0"/>
    <n v="6.3071999999999999"/>
    <m/>
    <s v="-"/>
    <s v="-"/>
    <s v="-"/>
    <s v="-"/>
    <s v="-"/>
    <n v="10512"/>
    <m/>
    <m/>
    <n v="1"/>
    <n v="0.97"/>
    <n v="10196.64"/>
    <s v="-"/>
    <s v="-"/>
    <n v="8529"/>
    <n v="20380"/>
    <n v="7348"/>
    <n v="11606"/>
    <n v="1.1382180796811499"/>
    <m/>
    <m/>
    <s v="x"/>
    <m/>
    <m/>
    <m/>
    <m/>
    <s v="ㅇ"/>
    <s v="ㅇ"/>
  </r>
  <r>
    <n v="484"/>
    <x v="481"/>
    <n v="489"/>
    <x v="8"/>
    <n v="9"/>
    <x v="37"/>
    <x v="481"/>
    <s v="강북구 도봉로95길 38-1"/>
    <s v="유니테스트"/>
    <n v="3"/>
    <n v="9"/>
    <n v="3"/>
    <n v="0.7142857142857143"/>
    <m/>
    <n v="0"/>
    <n v="0"/>
    <n v="2.1024000000000003"/>
    <m/>
    <s v="-"/>
    <s v="-"/>
    <s v="-"/>
    <s v="-"/>
    <s v="-"/>
    <n v="3504.0000000000005"/>
    <m/>
    <m/>
    <n v="1"/>
    <n v="0.97"/>
    <n v="3398.8800000000006"/>
    <s v="-"/>
    <s v="-"/>
    <s v="-"/>
    <n v="3723"/>
    <n v="2100"/>
    <n v="3129"/>
    <n v="0.92059737325236535"/>
    <m/>
    <m/>
    <s v="x"/>
    <m/>
    <m/>
    <m/>
    <m/>
    <s v="ㅇ"/>
    <s v="ㅇ"/>
  </r>
  <r>
    <n v="481"/>
    <x v="482"/>
    <n v="471"/>
    <x v="8"/>
    <n v="12"/>
    <x v="37"/>
    <x v="482"/>
    <s v="강북구 인수봉로20가길 21"/>
    <s v="㈜한국스카다"/>
    <n v="36"/>
    <n v="115"/>
    <n v="3.1944444444444446"/>
    <n v="0.76058201058201058"/>
    <m/>
    <n v="0"/>
    <n v="0"/>
    <n v="25.2288"/>
    <m/>
    <s v="-"/>
    <s v="-"/>
    <s v="-"/>
    <s v="-"/>
    <s v="-"/>
    <n v="42048"/>
    <n v="20"/>
    <n v="40"/>
    <n v="0.92800000000000005"/>
    <n v="0.97"/>
    <n v="37849.927680000001"/>
    <n v="30554"/>
    <n v="31335"/>
    <n v="30104"/>
    <n v="24778"/>
    <n v="11469"/>
    <n v="27495"/>
    <n v="0.72642146723383116"/>
    <s v="주변환경 변화에 따른 음영"/>
    <s v="주변건물 영향으로 음영발생"/>
    <s v="x"/>
    <m/>
    <m/>
    <m/>
    <m/>
    <s v="ㅇ"/>
    <s v="ㅇ"/>
  </r>
  <r>
    <n v="482"/>
    <x v="483"/>
    <n v="470"/>
    <x v="8"/>
    <n v="12"/>
    <x v="37"/>
    <x v="483"/>
    <s v="강북구 월계로7길 36"/>
    <s v="㈜한국스카다"/>
    <n v="30"/>
    <n v="104"/>
    <n v="3.4666666666666668"/>
    <n v="0.82539682539682535"/>
    <m/>
    <n v="0"/>
    <n v="0"/>
    <n v="21.024000000000001"/>
    <m/>
    <s v="-"/>
    <s v="-"/>
    <s v="-"/>
    <s v="-"/>
    <s v="-"/>
    <n v="35040"/>
    <m/>
    <m/>
    <n v="1"/>
    <n v="0.97"/>
    <n v="33988.799999999996"/>
    <n v="21600"/>
    <n v="19188"/>
    <n v="13081"/>
    <n v="23463"/>
    <n v="14780"/>
    <n v="23255"/>
    <n v="0.68419597043732061"/>
    <s v="주변환경 변화에 따른 음영"/>
    <s v="주변건물 영향으로 음영발생"/>
    <s v="x"/>
    <m/>
    <m/>
    <m/>
    <m/>
    <s v="ㅇ"/>
    <s v="ㅇ"/>
  </r>
  <r>
    <n v="486"/>
    <x v="484"/>
    <n v="484"/>
    <x v="8"/>
    <n v="6"/>
    <x v="14"/>
    <x v="484"/>
    <s v="도봉구 마들로 797"/>
    <s v="진영산기"/>
    <n v="20"/>
    <n v="79"/>
    <n v="3.95"/>
    <n v="0.94047619047619047"/>
    <m/>
    <n v="0"/>
    <n v="0"/>
    <n v="14.016"/>
    <m/>
    <s v="-"/>
    <s v="-"/>
    <s v="-"/>
    <s v="-"/>
    <s v="-"/>
    <n v="23360"/>
    <m/>
    <m/>
    <n v="1"/>
    <n v="0.97"/>
    <n v="22659.200000000001"/>
    <n v="21693"/>
    <n v="21873"/>
    <n v="22087"/>
    <n v="21248"/>
    <n v="10127"/>
    <n v="20315"/>
    <n v="0.89654533258014402"/>
    <m/>
    <s v="코로나19영향으로 인한 사람들의 활동저하로 전력부하 사용이 줄어 발전량 하락"/>
    <s v="x"/>
    <m/>
    <m/>
    <m/>
    <m/>
    <s v="ㅇ"/>
    <s v="ㅇ"/>
  </r>
  <r>
    <n v="492"/>
    <x v="485"/>
    <n v="545"/>
    <x v="8"/>
    <n v="9"/>
    <x v="14"/>
    <x v="485"/>
    <s v="도봉구 도봉산4길 28-3"/>
    <s v="㈜에스피브이"/>
    <n v="10"/>
    <n v="45"/>
    <n v="4.5"/>
    <n v="1.0714285714285714"/>
    <m/>
    <n v="0"/>
    <n v="0"/>
    <n v="7.008"/>
    <m/>
    <s v="-"/>
    <s v="-"/>
    <s v="-"/>
    <s v="-"/>
    <s v="-"/>
    <n v="11680"/>
    <m/>
    <m/>
    <n v="1"/>
    <n v="0.97"/>
    <n v="11329.6"/>
    <n v="14134"/>
    <n v="14106"/>
    <n v="14517"/>
    <n v="14219"/>
    <n v="8849"/>
    <n v="12557"/>
    <n v="1.1083356870498517"/>
    <m/>
    <s v="코로나19영향으로 인한 사람들의 활동저하로 전력부하 사용이 줄어 발전량 하락"/>
    <s v="x"/>
    <m/>
    <m/>
    <m/>
    <m/>
    <s v="ㅇ"/>
    <s v="ㅇ"/>
  </r>
  <r>
    <n v="488"/>
    <x v="486"/>
    <n v="519"/>
    <x v="8"/>
    <n v="9"/>
    <x v="14"/>
    <x v="486"/>
    <s v="도봉구 노해로 147"/>
    <s v="㈜에스피브이"/>
    <n v="10"/>
    <n v="65"/>
    <n v="6.5"/>
    <n v="1.5476190476190474"/>
    <s v="구조물"/>
    <n v="0"/>
    <n v="0"/>
    <n v="7.008"/>
    <m/>
    <s v="-"/>
    <s v="-"/>
    <s v="-"/>
    <s v="-"/>
    <s v="-"/>
    <n v="11680"/>
    <m/>
    <m/>
    <n v="1"/>
    <n v="0.97"/>
    <n v="11329.6"/>
    <n v="10824"/>
    <n v="11449"/>
    <n v="11349"/>
    <n v="11527"/>
    <n v="7224"/>
    <n v="11216"/>
    <n v="0.98997316763169041"/>
    <m/>
    <m/>
    <s v="x"/>
    <m/>
    <m/>
    <m/>
    <m/>
    <s v="ㅇ"/>
    <s v="ㅇ"/>
  </r>
  <r>
    <n v="485"/>
    <x v="487"/>
    <n v="559"/>
    <x v="8"/>
    <n v="11"/>
    <x v="14"/>
    <x v="487"/>
    <s v="도봉구 창동 산 107-226"/>
    <s v="㈜에스피브이"/>
    <n v="62.4"/>
    <n v="205"/>
    <n v="3.2852564102564101"/>
    <n v="0.78220390720390709"/>
    <m/>
    <n v="0"/>
    <n v="0"/>
    <n v="43.72992"/>
    <m/>
    <s v="-"/>
    <s v="-"/>
    <s v="-"/>
    <s v="-"/>
    <s v="-"/>
    <n v="72883.199999999997"/>
    <m/>
    <m/>
    <n v="1"/>
    <n v="0.97"/>
    <n v="70696.703999999998"/>
    <n v="81589"/>
    <n v="85325"/>
    <n v="87068"/>
    <n v="86723"/>
    <n v="54592"/>
    <n v="86876"/>
    <n v="1.2288550255468771"/>
    <m/>
    <m/>
    <s v="x"/>
    <m/>
    <m/>
    <m/>
    <m/>
    <s v="x"/>
    <s v="x"/>
  </r>
  <r>
    <n v="490"/>
    <x v="488"/>
    <n v="528"/>
    <x v="8"/>
    <n v="11"/>
    <x v="14"/>
    <x v="488"/>
    <s v="도봉구 창동 산24"/>
    <s v="㈜에스피브이"/>
    <n v="9.9"/>
    <n v="26"/>
    <n v="2.6262626262626263"/>
    <n v="0.62530062530062525"/>
    <m/>
    <n v="0"/>
    <n v="0"/>
    <n v="6.9379200000000001"/>
    <m/>
    <s v="-"/>
    <s v="-"/>
    <s v="-"/>
    <s v="-"/>
    <s v="-"/>
    <n v="11563.2"/>
    <m/>
    <m/>
    <n v="1"/>
    <n v="0.97"/>
    <n v="11216.304"/>
    <n v="12647"/>
    <n v="12848"/>
    <n v="12748"/>
    <n v="12174"/>
    <n v="7598"/>
    <n v="11498"/>
    <n v="1.0251148684985714"/>
    <m/>
    <m/>
    <s v="x"/>
    <m/>
    <m/>
    <m/>
    <m/>
    <s v="ㅇ"/>
    <s v="ㅇ"/>
  </r>
  <r>
    <n v="487"/>
    <x v="489"/>
    <n v="537"/>
    <x v="8"/>
    <n v="12"/>
    <x v="14"/>
    <x v="489"/>
    <s v="도봉구 방학로 130-9"/>
    <s v="㈜에스피브이"/>
    <n v="3"/>
    <n v="12"/>
    <n v="4"/>
    <n v="0.95238095238095233"/>
    <m/>
    <n v="0"/>
    <n v="0"/>
    <n v="2.1024000000000003"/>
    <m/>
    <s v="-"/>
    <s v="-"/>
    <s v="-"/>
    <s v="-"/>
    <s v="-"/>
    <n v="3504.0000000000005"/>
    <m/>
    <m/>
    <n v="1"/>
    <n v="0.97"/>
    <n v="3398.8800000000006"/>
    <n v="3913"/>
    <n v="4167"/>
    <n v="4182"/>
    <n v="4042"/>
    <n v="2544"/>
    <n v="3604"/>
    <n v="1.0603492915313277"/>
    <m/>
    <s v="코로나19영향으로 인한 사람들의 활동저하로 전력부하 사용이 줄어 발전량 하락"/>
    <s v="x"/>
    <m/>
    <m/>
    <m/>
    <m/>
    <s v="ㅇ"/>
    <s v="ㅇ"/>
  </r>
  <r>
    <n v="489"/>
    <x v="490"/>
    <n v="534"/>
    <x v="8"/>
    <n v="12"/>
    <x v="14"/>
    <x v="490"/>
    <s v="도봉구 도봉로104길 101"/>
    <s v="에스피브이"/>
    <n v="2"/>
    <n v="12"/>
    <n v="6"/>
    <n v="1.4285714285714286"/>
    <s v="구조물"/>
    <n v="0"/>
    <n v="0"/>
    <n v="1.4016"/>
    <m/>
    <s v="-"/>
    <s v="-"/>
    <s v="-"/>
    <s v="-"/>
    <s v="-"/>
    <n v="2336"/>
    <m/>
    <m/>
    <n v="1"/>
    <n v="0.97"/>
    <n v="2265.92"/>
    <n v="2302"/>
    <n v="2879"/>
    <n v="2792"/>
    <n v="2784"/>
    <n v="1680"/>
    <n v="2370"/>
    <n v="1.0459327778562351"/>
    <m/>
    <s v="코로나19영향으로 인한 사람들의 활동저하로 전력부하 사용이 줄어 발전량 하락"/>
    <s v="x"/>
    <m/>
    <m/>
    <m/>
    <m/>
    <s v="ㅇ"/>
    <s v="ㅇ"/>
  </r>
  <r>
    <n v="491"/>
    <x v="491"/>
    <n v="479"/>
    <x v="8"/>
    <n v="12"/>
    <x v="14"/>
    <x v="491"/>
    <s v="도봉구 덕릉로63길 76-10"/>
    <s v="에디슨솔라이텍"/>
    <n v="18"/>
    <n v="84"/>
    <n v="4.666666666666667"/>
    <n v="1.1111111111111112"/>
    <s v="구조물"/>
    <n v="0"/>
    <n v="0"/>
    <n v="12.6144"/>
    <m/>
    <s v="-"/>
    <s v="-"/>
    <s v="-"/>
    <s v="-"/>
    <s v="-"/>
    <n v="21024"/>
    <n v="15"/>
    <n v="25"/>
    <n v="0.95299999999999996"/>
    <n v="0.97"/>
    <n v="19434.795839999999"/>
    <s v="-"/>
    <s v="-"/>
    <n v="21149"/>
    <n v="20648"/>
    <n v="11547"/>
    <n v="16374"/>
    <n v="0.84250949352910731"/>
    <m/>
    <m/>
    <s v="x"/>
    <m/>
    <m/>
    <m/>
    <m/>
    <s v="ㅇ"/>
    <s v="ㅇ"/>
  </r>
  <r>
    <n v="494"/>
    <x v="492"/>
    <n v="529"/>
    <x v="8"/>
    <n v="8"/>
    <x v="38"/>
    <x v="492"/>
    <s v="노원구 상계로 118"/>
    <s v="-"/>
    <n v="30"/>
    <n v="135"/>
    <n v="4.5"/>
    <n v="1.0714285714285714"/>
    <m/>
    <n v="0"/>
    <n v="0"/>
    <n v="21.024000000000001"/>
    <m/>
    <s v="-"/>
    <s v="-"/>
    <s v="-"/>
    <s v="-"/>
    <s v="-"/>
    <n v="35040"/>
    <m/>
    <m/>
    <n v="1"/>
    <n v="0.97"/>
    <n v="33988.799999999996"/>
    <s v="-"/>
    <s v="-"/>
    <s v="-"/>
    <n v="34744"/>
    <n v="19966"/>
    <n v="34862"/>
    <n v="1.0256908157981455"/>
    <m/>
    <m/>
    <s v="x"/>
    <m/>
    <m/>
    <m/>
    <m/>
    <s v="ㅇ"/>
    <s v="ㅇ"/>
  </r>
  <r>
    <n v="495"/>
    <x v="493"/>
    <n v="517"/>
    <x v="8"/>
    <n v="9"/>
    <x v="38"/>
    <x v="493"/>
    <s v="노원구 덕릉로 483"/>
    <s v="LG전자"/>
    <n v="5"/>
    <n v="21"/>
    <n v="4.2"/>
    <n v="1"/>
    <m/>
    <n v="0"/>
    <n v="0"/>
    <n v="3.504"/>
    <m/>
    <s v="-"/>
    <s v="-"/>
    <s v="-"/>
    <s v="-"/>
    <s v="-"/>
    <n v="5840"/>
    <m/>
    <m/>
    <n v="1"/>
    <n v="0.97"/>
    <n v="5664.8"/>
    <n v="4941"/>
    <s v="-"/>
    <s v="-"/>
    <n v="5605"/>
    <n v="3216"/>
    <n v="5576"/>
    <n v="0.98432424798757234"/>
    <m/>
    <m/>
    <s v="x"/>
    <m/>
    <m/>
    <m/>
    <m/>
    <s v="ㅇ"/>
    <s v="ㅇ"/>
  </r>
  <r>
    <n v="498"/>
    <x v="494"/>
    <n v="521"/>
    <x v="8"/>
    <n v="9"/>
    <x v="38"/>
    <x v="494"/>
    <s v="노원구 석계로 69"/>
    <s v="주)에코스"/>
    <n v="8"/>
    <n v="33"/>
    <n v="4.125"/>
    <n v="0.9821428571428571"/>
    <m/>
    <n v="0"/>
    <n v="0"/>
    <n v="5.6063999999999998"/>
    <m/>
    <s v="-"/>
    <s v="-"/>
    <s v="-"/>
    <s v="-"/>
    <s v="-"/>
    <n v="9344"/>
    <m/>
    <m/>
    <n v="1"/>
    <n v="0.97"/>
    <n v="9063.68"/>
    <n v="6236"/>
    <s v="-"/>
    <s v="-"/>
    <n v="9084"/>
    <n v="5163"/>
    <n v="9002"/>
    <n v="0.99319481711622648"/>
    <m/>
    <m/>
    <s v="x"/>
    <m/>
    <m/>
    <m/>
    <m/>
    <s v="ㅇ"/>
    <s v="ㅇ"/>
  </r>
  <r>
    <n v="493"/>
    <x v="495"/>
    <n v="506"/>
    <x v="8"/>
    <n v="12"/>
    <x v="38"/>
    <x v="495"/>
    <s v="노원구 노원로 586"/>
    <s v="-"/>
    <n v="31"/>
    <n v="100"/>
    <n v="3.225806451612903"/>
    <n v="0.76804915514592931"/>
    <m/>
    <n v="0"/>
    <n v="0"/>
    <n v="21.724799999999998"/>
    <m/>
    <s v="-"/>
    <s v="-"/>
    <s v="-"/>
    <s v="-"/>
    <s v="-"/>
    <n v="36208"/>
    <m/>
    <m/>
    <n v="1"/>
    <n v="0.97"/>
    <n v="35121.760000000002"/>
    <s v="-"/>
    <s v="-"/>
    <s v="-"/>
    <n v="31500"/>
    <n v="18636"/>
    <n v="33389"/>
    <n v="0.95066420361621962"/>
    <m/>
    <m/>
    <s v="x"/>
    <m/>
    <m/>
    <m/>
    <m/>
    <s v="ㅇ"/>
    <s v="ㅇ"/>
  </r>
  <r>
    <n v="496"/>
    <x v="496"/>
    <n v="541"/>
    <x v="8"/>
    <n v="12"/>
    <x v="38"/>
    <x v="496"/>
    <s v="노원구 중계로 36"/>
    <s v="이앤에이치㈜"/>
    <n v="33.6"/>
    <n v="138"/>
    <n v="4.1071428571428568"/>
    <n v="0.97789115646258495"/>
    <m/>
    <n v="0"/>
    <n v="0"/>
    <n v="23.546880000000002"/>
    <m/>
    <s v="-"/>
    <s v="-"/>
    <s v="-"/>
    <s v="-"/>
    <s v="-"/>
    <n v="39244.800000000003"/>
    <m/>
    <m/>
    <n v="1"/>
    <n v="0.97"/>
    <n v="38067.455999999998"/>
    <n v="41405"/>
    <n v="34668"/>
    <s v="-"/>
    <n v="43905"/>
    <n v="24119"/>
    <n v="41068"/>
    <n v="1.0788217631354196"/>
    <m/>
    <m/>
    <s v="x"/>
    <m/>
    <m/>
    <m/>
    <m/>
    <s v="ㅇ"/>
    <s v="ㅇ"/>
  </r>
  <r>
    <n v="497"/>
    <x v="497"/>
    <n v="501"/>
    <x v="8"/>
    <n v="12"/>
    <x v="38"/>
    <x v="497"/>
    <s v="노원구 동일로 227길 106"/>
    <s v="이앤에이치㈜"/>
    <n v="1.8"/>
    <n v="8"/>
    <n v="4.4444444444444446"/>
    <n v="1.0582010582010581"/>
    <m/>
    <n v="0"/>
    <n v="0"/>
    <n v="1.2614399999999999"/>
    <m/>
    <s v="-"/>
    <s v="-"/>
    <s v="-"/>
    <s v="-"/>
    <s v="-"/>
    <n v="2102.4"/>
    <m/>
    <m/>
    <n v="1"/>
    <n v="0.97"/>
    <n v="2039.328"/>
    <n v="1249"/>
    <s v="-"/>
    <s v="-"/>
    <n v="1902"/>
    <n v="1113"/>
    <n v="1927"/>
    <n v="0.94491911060898492"/>
    <m/>
    <m/>
    <s v="x"/>
    <m/>
    <m/>
    <m/>
    <m/>
    <s v="ㅇ"/>
    <s v="ㅇ"/>
  </r>
  <r>
    <n v="499"/>
    <x v="498"/>
    <n v="449"/>
    <x v="8"/>
    <n v="12"/>
    <x v="38"/>
    <x v="498"/>
    <s v="노원구 중계로8길 17"/>
    <s v="-"/>
    <n v="3"/>
    <n v="9"/>
    <n v="3"/>
    <n v="0.7142857142857143"/>
    <m/>
    <n v="1.48"/>
    <n v="98.666666666666671"/>
    <n v="0.62240000000000029"/>
    <s v="수리비용"/>
    <s v="-"/>
    <s v="-"/>
    <s v="-"/>
    <s v="-"/>
    <n v="1.48"/>
    <n v="3504.0000000000005"/>
    <m/>
    <m/>
    <n v="1"/>
    <n v="0.97"/>
    <n v="3398.8800000000006"/>
    <s v="-"/>
    <s v="-"/>
    <s v="-"/>
    <n v="3711"/>
    <n v="2115"/>
    <n v="3521"/>
    <n v="1.0359294826531091"/>
    <m/>
    <m/>
    <s v="ㅇ"/>
    <s v="인버터"/>
    <n v="1.5"/>
    <n v="1"/>
    <m/>
    <s v="ㅇ"/>
    <s v="ㅇ"/>
  </r>
  <r>
    <n v="500"/>
    <x v="499"/>
    <n v="538"/>
    <x v="8"/>
    <n v="12"/>
    <x v="38"/>
    <x v="499"/>
    <s v="노원구 상계동 770-11"/>
    <s v="-"/>
    <n v="10"/>
    <n v="32"/>
    <n v="3.2"/>
    <n v="0.76190476190476186"/>
    <m/>
    <n v="0"/>
    <n v="0"/>
    <n v="7.008"/>
    <m/>
    <s v="-"/>
    <s v="-"/>
    <s v="-"/>
    <s v="-"/>
    <s v="-"/>
    <n v="11680"/>
    <m/>
    <m/>
    <n v="1"/>
    <n v="0.97"/>
    <n v="11329.6"/>
    <n v="8981"/>
    <n v="11850"/>
    <n v="12587"/>
    <n v="12545"/>
    <n v="7205"/>
    <n v="12033"/>
    <n v="1.062085157463635"/>
    <m/>
    <m/>
    <s v="x"/>
    <m/>
    <m/>
    <m/>
    <m/>
    <s v="ㅇ"/>
    <s v="ㅇ"/>
  </r>
  <r>
    <n v="503"/>
    <x v="500"/>
    <n v="510"/>
    <x v="8"/>
    <n v="5"/>
    <x v="39"/>
    <x v="500"/>
    <s v="은평구연서로13길29-23 (구산동 17-37)"/>
    <s v="케이디파워"/>
    <n v="3"/>
    <n v="12.5"/>
    <n v="4.166666666666667"/>
    <n v="0.99206349206349209"/>
    <m/>
    <n v="0"/>
    <n v="0"/>
    <n v="2.1024000000000003"/>
    <m/>
    <s v="-"/>
    <s v="-"/>
    <s v="-"/>
    <s v="-"/>
    <s v="-"/>
    <n v="3504.0000000000005"/>
    <n v="21"/>
    <n v="0"/>
    <n v="0.98099999999999998"/>
    <n v="0.97"/>
    <n v="3334.3012800000001"/>
    <n v="3602"/>
    <n v="3682"/>
    <n v="3825"/>
    <n v="3802"/>
    <n v="1500"/>
    <n v="3200"/>
    <n v="0.95972131228645297"/>
    <m/>
    <m/>
    <s v="x"/>
    <m/>
    <m/>
    <m/>
    <m/>
    <s v="ㅇ"/>
    <s v="ㅇ"/>
  </r>
  <r>
    <n v="501"/>
    <x v="501"/>
    <n v="527"/>
    <x v="8"/>
    <n v="12"/>
    <x v="39"/>
    <x v="501"/>
    <s v="은평구 은평로 195"/>
    <s v="윌링스"/>
    <n v="20"/>
    <n v="64"/>
    <n v="3.2"/>
    <n v="0.76190476190476186"/>
    <s v="구조물"/>
    <n v="0"/>
    <n v="0"/>
    <n v="14.016"/>
    <m/>
    <s v="-"/>
    <s v="-"/>
    <s v="-"/>
    <s v="-"/>
    <s v="-"/>
    <n v="23360"/>
    <n v="15"/>
    <n v="0"/>
    <n v="0.96399999999999997"/>
    <n v="0.97"/>
    <n v="21843.468799999999"/>
    <n v="26234"/>
    <n v="24156"/>
    <n v="23796"/>
    <n v="20838"/>
    <n v="16421"/>
    <n v="22352"/>
    <n v="1.0232806979814488"/>
    <m/>
    <m/>
    <s v="x"/>
    <m/>
    <m/>
    <m/>
    <m/>
    <s v="ㅇ"/>
    <s v="ㅇ"/>
  </r>
  <r>
    <n v="502"/>
    <x v="502"/>
    <n v="558"/>
    <x v="8"/>
    <n v="12"/>
    <x v="39"/>
    <x v="502"/>
    <s v="은평구 녹번로 16"/>
    <s v="케이디파워"/>
    <n v="40"/>
    <n v="122"/>
    <n v="3.05"/>
    <n v="0.72619047619047616"/>
    <m/>
    <n v="0"/>
    <n v="0"/>
    <n v="28.032"/>
    <m/>
    <s v="-"/>
    <s v="-"/>
    <s v="-"/>
    <s v="-"/>
    <s v="-"/>
    <n v="46720"/>
    <n v="20"/>
    <n v="0"/>
    <n v="0.98099999999999998"/>
    <n v="0.97"/>
    <n v="44457.350399999996"/>
    <n v="53582"/>
    <n v="52165"/>
    <n v="56639"/>
    <n v="55205"/>
    <n v="30200"/>
    <n v="54013"/>
    <n v="1.2149397009498795"/>
    <m/>
    <m/>
    <s v="x"/>
    <m/>
    <m/>
    <m/>
    <m/>
    <s v="ㅇ"/>
    <s v="ㅇ"/>
  </r>
  <r>
    <n v="506"/>
    <x v="503"/>
    <n v="456"/>
    <x v="8"/>
    <n v="8"/>
    <x v="40"/>
    <x v="503"/>
    <s v="서대문구 연세로2나길 47"/>
    <s v="에디슨솔라이텍㈜"/>
    <n v="10"/>
    <n v="34"/>
    <n v="3.4"/>
    <n v="0.80952380952380942"/>
    <m/>
    <n v="0.5"/>
    <n v="10"/>
    <n v="6.508"/>
    <m/>
    <s v="-"/>
    <s v="-"/>
    <s v="-"/>
    <n v="0.2"/>
    <n v="0.3"/>
    <n v="11680"/>
    <m/>
    <m/>
    <n v="1"/>
    <n v="0.97"/>
    <n v="11329.6"/>
    <n v="10668.6"/>
    <n v="11070.6"/>
    <n v="11216.7"/>
    <n v="9079"/>
    <n v="7800"/>
    <n v="10324"/>
    <n v="0.91124135009179497"/>
    <m/>
    <m/>
    <s v="x"/>
    <m/>
    <m/>
    <m/>
    <m/>
    <s v="ㅇ"/>
    <s v="ㅇ"/>
  </r>
  <r>
    <n v="507"/>
    <x v="504"/>
    <n v="459"/>
    <x v="8"/>
    <n v="8"/>
    <x v="40"/>
    <x v="504"/>
    <s v="서대문구 통일로 483"/>
    <s v="㈜대연씨엔아이"/>
    <n v="10"/>
    <n v="34"/>
    <n v="3.4"/>
    <n v="0.80952380952380942"/>
    <m/>
    <n v="0.3"/>
    <n v="6"/>
    <n v="6.7080000000000002"/>
    <m/>
    <s v="-"/>
    <s v="-"/>
    <s v="-"/>
    <s v="-"/>
    <n v="0.3"/>
    <n v="11680"/>
    <m/>
    <m/>
    <n v="1"/>
    <n v="0.97"/>
    <n v="11329.6"/>
    <n v="11509"/>
    <n v="11926"/>
    <n v="8766"/>
    <n v="7787"/>
    <n v="7000"/>
    <n v="10611"/>
    <n v="0.93657322412088684"/>
    <m/>
    <m/>
    <s v="x"/>
    <m/>
    <m/>
    <m/>
    <m/>
    <s v="ㅇ"/>
    <s v="ㅇ"/>
  </r>
  <r>
    <n v="508"/>
    <x v="505"/>
    <n v="481"/>
    <x v="8"/>
    <n v="8"/>
    <x v="40"/>
    <x v="505"/>
    <s v="서대문구 홍은중앙로 85"/>
    <s v="㈜에코스"/>
    <n v="10"/>
    <n v="34"/>
    <n v="3.4"/>
    <n v="0.80952380952380942"/>
    <m/>
    <n v="0"/>
    <n v="0"/>
    <n v="7.008"/>
    <m/>
    <m/>
    <m/>
    <m/>
    <m/>
    <m/>
    <n v="11680"/>
    <n v="20"/>
    <n v="170"/>
    <n v="0.97899999999999998"/>
    <n v="0.97"/>
    <n v="11091.678399999999"/>
    <n v="9920.2999999999993"/>
    <n v="9104.4"/>
    <n v="10073.5"/>
    <n v="8469"/>
    <s v="48,840(누적)"/>
    <n v="9500"/>
    <n v="0.85649796698036262"/>
    <m/>
    <s v="다른 시설상 문제는 없으며 일사량 및 각도의 문제_x000a_방위각 170, 경사각 20"/>
    <s v="x"/>
    <m/>
    <m/>
    <m/>
    <m/>
    <s v="ㅇ"/>
    <s v="ㅇ"/>
  </r>
  <r>
    <n v="504"/>
    <x v="506"/>
    <n v="504"/>
    <x v="8"/>
    <n v="10"/>
    <x v="40"/>
    <x v="506"/>
    <s v="서대문구 모래내로15길 37"/>
    <s v="케이디파워㈜"/>
    <n v="38.159999999999997"/>
    <n v="148"/>
    <n v="3.8784067085953882"/>
    <n v="0.92343016871318762"/>
    <m/>
    <n v="0"/>
    <n v="0"/>
    <n v="26.742528"/>
    <m/>
    <m/>
    <m/>
    <m/>
    <m/>
    <m/>
    <n v="44570.879999999997"/>
    <n v="10"/>
    <n v="50"/>
    <n v="0.92"/>
    <n v="0.97"/>
    <n v="39775.053311999996"/>
    <n v="16418"/>
    <n v="40121"/>
    <n v="39039"/>
    <n v="38251"/>
    <n v="20000"/>
    <n v="37768"/>
    <n v="0.94953989637030922"/>
    <m/>
    <s v="모니터링 시스템 고도화(교체)로 1~2월 발전량 모니터링 되지않음. / 연간 예상발전량이 아닌 모니터링 기간 10개월에 대한 발전효율 계산"/>
    <s v="x"/>
    <m/>
    <m/>
    <m/>
    <m/>
    <s v="ㅇ"/>
    <s v="ㅇ"/>
  </r>
  <r>
    <n v="505"/>
    <x v="507"/>
    <n v="473"/>
    <x v="8"/>
    <n v="12"/>
    <x v="40"/>
    <x v="507"/>
    <s v="서대문구 가재울로14길 22"/>
    <s v="㈜에코스"/>
    <n v="10"/>
    <n v="34"/>
    <n v="3.4"/>
    <n v="0.80952380952380942"/>
    <m/>
    <n v="0"/>
    <n v="0"/>
    <n v="7.008"/>
    <m/>
    <m/>
    <m/>
    <m/>
    <m/>
    <m/>
    <n v="11680"/>
    <n v="10"/>
    <n v="-45"/>
    <n v="0.92500000000000004"/>
    <n v="0.97"/>
    <n v="10479.879999999999"/>
    <n v="10643.4"/>
    <n v="10076.6"/>
    <n v="10917.8"/>
    <n v="10565"/>
    <n v="4400"/>
    <n v="7983"/>
    <n v="0.76174536349652866"/>
    <s v="시설정비"/>
    <s v="7월2일 유지보수 점검 이후 7월 13일 업체를 통해 파워보드, SPD등 교체작업 및 수리 진행 "/>
    <s v="x"/>
    <m/>
    <m/>
    <m/>
    <m/>
    <s v="ㅇ"/>
    <s v="ㅇ"/>
  </r>
  <r>
    <n v="510"/>
    <x v="508"/>
    <n v="523"/>
    <x v="8"/>
    <n v="9"/>
    <x v="15"/>
    <x v="508"/>
    <s v="마포구 월드컵로 215"/>
    <s v="㈜에스피브이"/>
    <n v="48"/>
    <n v="130"/>
    <n v="2.7083333333333335"/>
    <n v="0.64484126984126988"/>
    <m/>
    <n v="0"/>
    <n v="0"/>
    <n v="33.638400000000004"/>
    <m/>
    <s v="-"/>
    <s v="-"/>
    <s v="-"/>
    <s v="-"/>
    <s v="-"/>
    <n v="56064.000000000007"/>
    <m/>
    <m/>
    <n v="1"/>
    <n v="0.97"/>
    <n v="54382.080000000009"/>
    <n v="57511"/>
    <n v="54312"/>
    <n v="54560"/>
    <n v="54281"/>
    <n v="53778"/>
    <n v="54288"/>
    <n v="0.99827001835898865"/>
    <m/>
    <m/>
    <s v="x"/>
    <m/>
    <m/>
    <m/>
    <m/>
    <s v="ㅇ"/>
    <s v="ㅇ"/>
  </r>
  <r>
    <n v="511"/>
    <x v="509"/>
    <n v="515"/>
    <x v="8"/>
    <n v="9"/>
    <x v="15"/>
    <x v="509"/>
    <s v="마포구 상암산로1길 71"/>
    <s v="㈜에스피브이"/>
    <n v="8"/>
    <n v="20"/>
    <n v="2.5"/>
    <n v="0.59523809523809523"/>
    <m/>
    <n v="0"/>
    <n v="0"/>
    <n v="5.6063999999999998"/>
    <m/>
    <s v="-"/>
    <s v="-"/>
    <s v="-"/>
    <s v="-"/>
    <s v="-"/>
    <n v="9344"/>
    <m/>
    <m/>
    <n v="1"/>
    <n v="0.97"/>
    <n v="9063.68"/>
    <n v="9509"/>
    <n v="9252"/>
    <n v="9760"/>
    <n v="9670"/>
    <n v="5254"/>
    <n v="8855"/>
    <n v="0.97697623923174692"/>
    <m/>
    <m/>
    <s v="x"/>
    <m/>
    <m/>
    <m/>
    <m/>
    <s v="ㅇ"/>
    <s v="ㅇ"/>
  </r>
  <r>
    <n v="509"/>
    <x v="510"/>
    <n v="474"/>
    <x v="8"/>
    <n v="11"/>
    <x v="15"/>
    <x v="510"/>
    <s v="마포구 월드컵로25길 190"/>
    <s v="㈜에코스"/>
    <n v="13"/>
    <n v="44"/>
    <n v="3.3846153846153846"/>
    <n v="0.80586080586080577"/>
    <m/>
    <n v="0"/>
    <n v="0"/>
    <n v="9.1104000000000003"/>
    <m/>
    <m/>
    <m/>
    <m/>
    <m/>
    <m/>
    <n v="15184"/>
    <m/>
    <m/>
    <n v="1"/>
    <n v="0.97"/>
    <n v="14728.48"/>
    <n v="14984"/>
    <n v="14711"/>
    <n v="16235"/>
    <n v="11766"/>
    <n v="7284"/>
    <n v="11493"/>
    <n v="0.78032492151260691"/>
    <s v="시설정비"/>
    <s v="시설 수리에 따른 가동 중지(2020.3.1.~5.30.)"/>
    <s v="x"/>
    <m/>
    <m/>
    <m/>
    <m/>
    <s v="ㅇ"/>
    <s v="ㅇ"/>
  </r>
  <r>
    <n v="512"/>
    <x v="511"/>
    <n v="478"/>
    <x v="8"/>
    <n v="6"/>
    <x v="56"/>
    <x v="511"/>
    <s v="양천구 목동동로1길 33"/>
    <s v="㈜파루"/>
    <n v="10"/>
    <n v="31"/>
    <n v="3.1"/>
    <n v="0.73809523809523814"/>
    <m/>
    <n v="0"/>
    <n v="0"/>
    <n v="7.008"/>
    <m/>
    <s v="-"/>
    <s v="-"/>
    <s v="-"/>
    <s v="-"/>
    <s v="-"/>
    <n v="11680"/>
    <n v="5"/>
    <n v="-15"/>
    <n v="0.913808081675197"/>
    <n v="0.97"/>
    <n v="10353.080042147312"/>
    <n v="9731"/>
    <n v="9766"/>
    <n v="9658"/>
    <n v="8689"/>
    <n v="5609"/>
    <n v="8521"/>
    <n v="0.82304009679352153"/>
    <m/>
    <m/>
    <s v="x"/>
    <m/>
    <m/>
    <m/>
    <m/>
    <s v="ㅇ"/>
    <s v="ㅇ"/>
  </r>
  <r>
    <n v="515"/>
    <x v="512"/>
    <n v="516"/>
    <x v="8"/>
    <n v="6"/>
    <x v="56"/>
    <x v="512"/>
    <s v="양천구 목4동 765-1"/>
    <s v="㈜파워에너텍"/>
    <n v="18"/>
    <n v="67"/>
    <n v="3.7222222222222223"/>
    <n v="0.88624338624338628"/>
    <m/>
    <n v="0"/>
    <n v="0"/>
    <n v="12.6144"/>
    <m/>
    <s v="-"/>
    <s v="-"/>
    <s v="-"/>
    <s v="-"/>
    <s v="-"/>
    <n v="21024"/>
    <m/>
    <m/>
    <n v="1"/>
    <n v="0.97"/>
    <n v="20393.28"/>
    <n v="23000"/>
    <n v="23380"/>
    <n v="21636"/>
    <s v="-"/>
    <n v="16100"/>
    <n v="19999"/>
    <n v="0.98066618023191954"/>
    <m/>
    <m/>
    <s v="x"/>
    <m/>
    <m/>
    <m/>
    <m/>
    <s v="ㅇ"/>
    <s v="ㅇ"/>
  </r>
  <r>
    <n v="519"/>
    <x v="513"/>
    <n v="544"/>
    <x v="8"/>
    <n v="6"/>
    <x v="56"/>
    <x v="513"/>
    <s v="양천구 중앙로46길 57"/>
    <s v="㈜파루"/>
    <n v="10"/>
    <n v="31"/>
    <n v="3.1"/>
    <n v="0.73809523809523814"/>
    <m/>
    <n v="0"/>
    <n v="0"/>
    <n v="7.008"/>
    <m/>
    <s v="-"/>
    <s v="-"/>
    <s v="-"/>
    <s v="-"/>
    <s v="-"/>
    <n v="11680"/>
    <m/>
    <m/>
    <n v="1"/>
    <n v="0.97"/>
    <n v="11329.6"/>
    <n v="13604"/>
    <n v="13803"/>
    <n v="14669"/>
    <n v="12441"/>
    <n v="5292"/>
    <n v="12462"/>
    <n v="1.099950571953114"/>
    <m/>
    <m/>
    <s v="x"/>
    <m/>
    <m/>
    <m/>
    <m/>
    <s v="ㅇ"/>
    <s v="ㅇ"/>
  </r>
  <r>
    <n v="517"/>
    <x v="514"/>
    <n v="526"/>
    <x v="8"/>
    <n v="7"/>
    <x v="56"/>
    <x v="514"/>
    <s v="양천구 중앙로 250"/>
    <s v="㈜에너솔라"/>
    <n v="21"/>
    <n v="82"/>
    <n v="3.9047619047619047"/>
    <n v="0.92970521541950102"/>
    <m/>
    <n v="0"/>
    <n v="0"/>
    <n v="14.716799999999999"/>
    <m/>
    <s v="-"/>
    <s v="-"/>
    <s v="-"/>
    <s v="-"/>
    <s v="-"/>
    <n v="24528"/>
    <m/>
    <m/>
    <n v="1"/>
    <n v="0.97"/>
    <n v="23792.16"/>
    <s v="-"/>
    <s v="-"/>
    <s v="-"/>
    <s v="-"/>
    <n v="11884"/>
    <n v="24324"/>
    <n v="1.0223535820202958"/>
    <m/>
    <m/>
    <s v="x"/>
    <m/>
    <m/>
    <m/>
    <m/>
    <s v="ㅇ"/>
    <s v="ㅇ"/>
  </r>
  <r>
    <n v="521"/>
    <x v="515"/>
    <n v="485"/>
    <x v="8"/>
    <n v="9"/>
    <x v="56"/>
    <x v="515"/>
    <s v="양천구 지양로 37"/>
    <s v="㈜텐코리아"/>
    <n v="20"/>
    <n v="66"/>
    <n v="3.3"/>
    <n v="0.78571428571428559"/>
    <m/>
    <n v="0"/>
    <n v="0"/>
    <n v="14.016"/>
    <m/>
    <s v="-"/>
    <s v="-"/>
    <s v="-"/>
    <s v="-"/>
    <s v="-"/>
    <n v="23360"/>
    <m/>
    <m/>
    <n v="1"/>
    <n v="0.97"/>
    <n v="22659.200000000001"/>
    <n v="21246"/>
    <n v="21701"/>
    <n v="26392"/>
    <n v="22313"/>
    <n v="13482"/>
    <n v="20393"/>
    <n v="0.89998764298827849"/>
    <m/>
    <m/>
    <s v="x"/>
    <m/>
    <m/>
    <m/>
    <m/>
    <s v="ㅇ"/>
    <s v="ㅇ"/>
  </r>
  <r>
    <n v="516"/>
    <x v="516"/>
    <n v="546"/>
    <x v="8"/>
    <n v="10"/>
    <x v="56"/>
    <x v="516"/>
    <s v="양천구 목동서로 337"/>
    <s v="㈜가람이앤씨"/>
    <n v="10"/>
    <n v="35"/>
    <n v="3.5"/>
    <n v="0.83333333333333326"/>
    <m/>
    <n v="0"/>
    <n v="0"/>
    <n v="7.008"/>
    <m/>
    <s v="-"/>
    <s v="-"/>
    <s v="-"/>
    <s v="-"/>
    <s v="-"/>
    <n v="11680"/>
    <m/>
    <m/>
    <n v="1"/>
    <n v="0.97"/>
    <n v="11329.6"/>
    <n v="10089"/>
    <n v="10822"/>
    <n v="13517"/>
    <n v="12254"/>
    <n v="5893"/>
    <n v="12590"/>
    <n v="1.1112484112413501"/>
    <m/>
    <m/>
    <s v="x"/>
    <m/>
    <m/>
    <m/>
    <m/>
    <s v="ㅇ"/>
    <s v="ㅇ"/>
  </r>
  <r>
    <n v="518"/>
    <x v="517"/>
    <n v="512"/>
    <x v="8"/>
    <n v="10"/>
    <x v="56"/>
    <x v="517"/>
    <s v="양천구 목동 517-12"/>
    <s v="㈜세화에너지산업"/>
    <n v="15"/>
    <n v="48"/>
    <n v="3.2"/>
    <n v="0.76190476190476186"/>
    <m/>
    <n v="0"/>
    <n v="0"/>
    <n v="10.512"/>
    <m/>
    <s v="-"/>
    <s v="-"/>
    <s v="-"/>
    <s v="-"/>
    <s v="-"/>
    <n v="17520"/>
    <m/>
    <m/>
    <n v="1"/>
    <n v="0.97"/>
    <n v="16994.399999999998"/>
    <n v="0"/>
    <n v="17815"/>
    <n v="17620"/>
    <n v="13998"/>
    <n v="10885"/>
    <n v="16557"/>
    <n v="0.9742621098714872"/>
    <m/>
    <m/>
    <s v="x"/>
    <m/>
    <m/>
    <m/>
    <m/>
    <s v="ㅇ"/>
    <s v="ㅇ"/>
  </r>
  <r>
    <n v="520"/>
    <x v="518"/>
    <n v="500"/>
    <x v="8"/>
    <n v="10"/>
    <x v="56"/>
    <x v="518"/>
    <s v="양천구 목동 중앙로55길 6-1"/>
    <s v="㈜가람이앤씨"/>
    <n v="10"/>
    <n v="35"/>
    <n v="3.5"/>
    <n v="0.83333333333333326"/>
    <m/>
    <n v="0"/>
    <n v="0"/>
    <n v="7.008"/>
    <m/>
    <s v="-"/>
    <s v="-"/>
    <s v="-"/>
    <s v="-"/>
    <s v="-"/>
    <n v="11680"/>
    <m/>
    <m/>
    <n v="1"/>
    <n v="0.97"/>
    <n v="11329.6"/>
    <n v="11378"/>
    <n v="12658"/>
    <n v="12459"/>
    <n v="10931"/>
    <n v="6218"/>
    <n v="10660"/>
    <n v="0.94089817822341471"/>
    <m/>
    <m/>
    <s v="x"/>
    <m/>
    <m/>
    <m/>
    <m/>
    <s v="ㅇ"/>
    <s v="ㅇ"/>
  </r>
  <r>
    <n v="513"/>
    <x v="519"/>
    <n v="472"/>
    <x v="8"/>
    <n v="11"/>
    <x v="56"/>
    <x v="519"/>
    <s v="양천구 목동동로 12길 7"/>
    <s v="에디슨솔라이텍㈜"/>
    <n v="12.5"/>
    <n v="48"/>
    <n v="3.84"/>
    <n v="0.91428571428571426"/>
    <m/>
    <n v="0"/>
    <n v="0"/>
    <n v="8.76"/>
    <m/>
    <s v="-"/>
    <s v="-"/>
    <s v="-"/>
    <s v="-"/>
    <s v="-"/>
    <n v="14600"/>
    <n v="20"/>
    <m/>
    <n v="0.95671902681255949"/>
    <n v="0.97"/>
    <n v="13549.054857719466"/>
    <n v="9759"/>
    <n v="9906"/>
    <n v="10064"/>
    <n v="9478"/>
    <n v="4872"/>
    <n v="9852"/>
    <n v="0.72713559015423879"/>
    <s v="주변환경 변화에 따른 음영"/>
    <s v="주변 건물로 인해 음영 발생"/>
    <s v="x"/>
    <m/>
    <m/>
    <m/>
    <m/>
    <s v="ㅇ"/>
    <s v="ㅇ"/>
  </r>
  <r>
    <n v="514"/>
    <x v="520"/>
    <n v="487"/>
    <x v="8"/>
    <n v="11"/>
    <x v="56"/>
    <x v="520"/>
    <s v="양천구 월정로 289"/>
    <s v="에디슨솔라이텍㈜"/>
    <n v="22.5"/>
    <n v="87"/>
    <n v="3.8666666666666667"/>
    <n v="0.92063492063492058"/>
    <m/>
    <n v="0"/>
    <n v="0"/>
    <n v="15.768000000000001"/>
    <m/>
    <s v="-"/>
    <s v="-"/>
    <s v="-"/>
    <s v="-"/>
    <s v="-"/>
    <n v="26280"/>
    <m/>
    <m/>
    <n v="1"/>
    <n v="0.97"/>
    <n v="25491.599999999999"/>
    <n v="28526"/>
    <n v="28839"/>
    <n v="27902"/>
    <n v="22796"/>
    <n v="11685"/>
    <n v="23370"/>
    <n v="0.91677258390999394"/>
    <m/>
    <m/>
    <s v="x"/>
    <m/>
    <m/>
    <m/>
    <m/>
    <s v="ㅇ"/>
    <s v="ㅇ"/>
  </r>
  <r>
    <n v="525"/>
    <x v="521"/>
    <n v="447"/>
    <x v="8"/>
    <n v="3"/>
    <x v="65"/>
    <x v="521"/>
    <s v="강서구 양천로61길 101"/>
    <s v="이엔에이치㈜"/>
    <n v="48"/>
    <n v="105"/>
    <n v="2.1875"/>
    <n v="0.52083333333333326"/>
    <m/>
    <n v="1"/>
    <n v="4.166666666666667"/>
    <n v="32.638400000000004"/>
    <s v="수리비용"/>
    <m/>
    <m/>
    <n v="1"/>
    <m/>
    <m/>
    <n v="56064.000000000007"/>
    <n v="35"/>
    <n v="0"/>
    <n v="1"/>
    <n v="0.97"/>
    <n v="54382.080000000009"/>
    <s v="-"/>
    <s v="-"/>
    <n v="55489"/>
    <n v="54238"/>
    <n v="32697"/>
    <n v="52476"/>
    <n v="0.96495021889563604"/>
    <m/>
    <m/>
    <s v="ㅇ"/>
    <s v="인버터"/>
    <n v="1"/>
    <n v="1"/>
    <m/>
    <s v="ㅇ"/>
    <s v="ㅇ"/>
  </r>
  <r>
    <n v="526"/>
    <x v="522"/>
    <n v="494"/>
    <x v="8"/>
    <n v="9"/>
    <x v="65"/>
    <x v="522"/>
    <s v="강서구 허준로 30"/>
    <s v="㈜에너솔라"/>
    <n v="19.22"/>
    <n v="63"/>
    <n v="3.2778355879292405"/>
    <n v="0.78043704474505726"/>
    <m/>
    <n v="0"/>
    <n v="0"/>
    <n v="13.469375999999999"/>
    <m/>
    <m/>
    <m/>
    <m/>
    <m/>
    <m/>
    <n v="22448.959999999999"/>
    <n v="25"/>
    <n v="20"/>
    <n v="0.98499999999999999"/>
    <n v="0.97"/>
    <n v="21448.858831999998"/>
    <n v="23802"/>
    <n v="22103"/>
    <n v="23206"/>
    <n v="21326"/>
    <n v="14139"/>
    <n v="19984"/>
    <n v="0.93170457955485519"/>
    <m/>
    <m/>
    <s v="x"/>
    <m/>
    <m/>
    <m/>
    <m/>
    <s v="ㅇ"/>
    <s v="ㅇ"/>
  </r>
  <r>
    <n v="524"/>
    <x v="523"/>
    <n v="448"/>
    <x v="8"/>
    <n v="9"/>
    <x v="65"/>
    <x v="523"/>
    <s v="강서구 등촌로 185"/>
    <s v="㈜에너솔라"/>
    <n v="22.44"/>
    <n v="73"/>
    <n v="3.2531194295900177"/>
    <n v="0.77455224514048038"/>
    <m/>
    <n v="1.4"/>
    <n v="12.4777183600713"/>
    <n v="14.325951999999999"/>
    <s v="수리비용"/>
    <m/>
    <m/>
    <m/>
    <n v="1"/>
    <n v="0.4"/>
    <n v="26209.920000000002"/>
    <n v="20"/>
    <n v="20"/>
    <n v="0.97499999999999998"/>
    <n v="0.97"/>
    <n v="24788.03184"/>
    <n v="20115"/>
    <n v="25403"/>
    <n v="23968"/>
    <n v="23831"/>
    <n v="13834"/>
    <n v="18962"/>
    <n v="0.76496593688416048"/>
    <s v="시설정비"/>
    <s v="-먼지 청소 등을 실시하여 효율개선 조치예정_x000a_-효율저하 원인분석 및 필요시 예산확보후 정비예정"/>
    <s v="ㅇ"/>
    <s v="인버터"/>
    <n v="1.4"/>
    <n v="1"/>
    <m/>
    <s v="ㅇ"/>
    <s v="ㅇ"/>
  </r>
  <r>
    <n v="523"/>
    <x v="524"/>
    <n v="446"/>
    <x v="8"/>
    <n v="9"/>
    <x v="65"/>
    <x v="524"/>
    <s v="강서구 송정로 45"/>
    <s v="㈜에너솔라"/>
    <n v="19.38"/>
    <n v="63"/>
    <n v="3.2507739938080498"/>
    <n v="0.77399380804953566"/>
    <m/>
    <n v="1"/>
    <n v="10.319917440660475"/>
    <n v="12.581504000000001"/>
    <s v="수리비용"/>
    <m/>
    <m/>
    <n v="1"/>
    <m/>
    <m/>
    <n v="22635.84"/>
    <n v="30"/>
    <n v="-10"/>
    <n v="0.997"/>
    <n v="0.97"/>
    <n v="21890.894505600001"/>
    <n v="14710"/>
    <n v="13774"/>
    <n v="13666"/>
    <n v="13821"/>
    <n v="13561"/>
    <n v="19177"/>
    <n v="0.87602633118049389"/>
    <m/>
    <m/>
    <s v="ㅇ"/>
    <s v="인버터"/>
    <n v="1"/>
    <n v="1"/>
    <m/>
    <s v="ㅇ"/>
    <s v="ㅇ"/>
  </r>
  <r>
    <n v="527"/>
    <x v="525"/>
    <n v="508"/>
    <x v="8"/>
    <n v="11"/>
    <x v="16"/>
    <x v="525"/>
    <s v="구로구 구로중앙로28길 66"/>
    <s v="헥스파워시스템㈜"/>
    <n v="10"/>
    <n v="41"/>
    <n v="4.0999999999999996"/>
    <n v="0.97619047619047605"/>
    <m/>
    <n v="0"/>
    <n v="0"/>
    <n v="7.008"/>
    <m/>
    <s v="-"/>
    <s v="-"/>
    <s v="-"/>
    <s v="-"/>
    <s v="-"/>
    <n v="11680"/>
    <m/>
    <m/>
    <n v="1"/>
    <n v="0.97"/>
    <n v="11329.6"/>
    <n v="12014"/>
    <n v="12699"/>
    <n v="12511"/>
    <n v="11841"/>
    <s v="(누적)492369"/>
    <n v="10776"/>
    <n v="0.9511368450783787"/>
    <m/>
    <m/>
    <s v="x"/>
    <m/>
    <m/>
    <m/>
    <m/>
    <s v="ㅇ"/>
    <s v="ㅇ"/>
  </r>
  <r>
    <n v="528"/>
    <x v="526"/>
    <n v="547"/>
    <x v="8"/>
    <n v="12"/>
    <x v="16"/>
    <x v="526"/>
    <s v="구로구 고척로45길 31"/>
    <s v="에디슨솔라이텍㈜"/>
    <n v="97.2"/>
    <n v="363"/>
    <n v="3.7345679012345676"/>
    <n v="0.88918283362727801"/>
    <m/>
    <n v="0"/>
    <n v="0"/>
    <n v="68.117760000000004"/>
    <m/>
    <s v="-"/>
    <s v="-"/>
    <s v="-"/>
    <s v="-"/>
    <s v="-"/>
    <n v="113529.60000000001"/>
    <m/>
    <m/>
    <n v="1"/>
    <n v="0.97"/>
    <n v="110123.712"/>
    <n v="123822"/>
    <n v="133503"/>
    <n v="137824"/>
    <n v="128194"/>
    <n v="76089"/>
    <n v="123429"/>
    <n v="1.1208212814330123"/>
    <m/>
    <m/>
    <s v="x"/>
    <m/>
    <m/>
    <m/>
    <m/>
    <s v="x"/>
    <s v="x"/>
  </r>
  <r>
    <n v="534"/>
    <x v="527"/>
    <n v="455"/>
    <x v="8"/>
    <n v="5"/>
    <x v="41"/>
    <x v="527"/>
    <s v="금천구 독산4동 187-40 독산4동공영주차장"/>
    <s v="유니테스트"/>
    <n v="10"/>
    <n v="40"/>
    <n v="4"/>
    <n v="0.95238095238095233"/>
    <m/>
    <n v="2.64"/>
    <n v="52.8"/>
    <n v="4.3680000000000003"/>
    <s v="수리비용"/>
    <s v="-"/>
    <s v="-"/>
    <s v="-"/>
    <n v="2.64"/>
    <s v="-"/>
    <n v="11680"/>
    <m/>
    <m/>
    <n v="1"/>
    <n v="0.97"/>
    <n v="11329.6"/>
    <s v="-"/>
    <s v="-"/>
    <n v="6576"/>
    <n v="8608"/>
    <n v="6800"/>
    <n v="11463"/>
    <n v="1.0117744668832085"/>
    <m/>
    <m/>
    <s v="ㅇ"/>
    <s v="모니터링"/>
    <n v="2.6"/>
    <n v="3"/>
    <m/>
    <s v="x"/>
    <s v="ㅇ"/>
  </r>
  <r>
    <n v="532"/>
    <x v="528"/>
    <n v="557"/>
    <x v="8"/>
    <n v="8"/>
    <x v="41"/>
    <x v="528"/>
    <s v="금천구 독산1동 벚꽃로10길 94(독산1동 1010)"/>
    <s v="㈜이멕스시스템"/>
    <n v="3"/>
    <n v="11"/>
    <n v="3.6666666666666665"/>
    <n v="0.87301587301587291"/>
    <m/>
    <n v="0"/>
    <n v="0"/>
    <n v="2.1024000000000003"/>
    <m/>
    <s v="-"/>
    <s v="-"/>
    <s v="-"/>
    <s v="-"/>
    <s v="-"/>
    <n v="3504.0000000000005"/>
    <m/>
    <m/>
    <n v="1"/>
    <n v="0.97"/>
    <n v="3398.8800000000006"/>
    <s v="-"/>
    <s v="-"/>
    <s v="-"/>
    <s v="-"/>
    <n v="2300"/>
    <n v="4124"/>
    <n v="1.2133408652261919"/>
    <m/>
    <m/>
    <s v="x"/>
    <m/>
    <m/>
    <m/>
    <m/>
    <s v="x"/>
    <s v="ㅇ"/>
  </r>
  <r>
    <n v="530"/>
    <x v="529"/>
    <n v="454"/>
    <x v="8"/>
    <n v="9"/>
    <x v="41"/>
    <x v="529"/>
    <s v="금천구 독산로58가길 88"/>
    <s v="㈜이맥스시스템"/>
    <n v="3"/>
    <n v="14"/>
    <n v="4.666666666666667"/>
    <n v="1.1111111111111112"/>
    <s v="구조물"/>
    <n v="0.8"/>
    <n v="53.333333333333329"/>
    <n v="1.3024000000000002"/>
    <m/>
    <s v="-"/>
    <s v="-"/>
    <s v="-"/>
    <n v="0.8"/>
    <s v="-"/>
    <n v="3504.0000000000005"/>
    <m/>
    <m/>
    <n v="1"/>
    <n v="0.97"/>
    <n v="3398.8800000000006"/>
    <n v="1936.9"/>
    <n v="4174"/>
    <n v="3395"/>
    <n v="2395"/>
    <n v="2200"/>
    <n v="3653"/>
    <n v="1.0747658052064208"/>
    <m/>
    <m/>
    <s v="x"/>
    <m/>
    <m/>
    <m/>
    <m/>
    <s v="ㅇ"/>
    <s v="ㅇ"/>
  </r>
  <r>
    <n v="533"/>
    <x v="530"/>
    <n v="556"/>
    <x v="8"/>
    <n v="9"/>
    <x v="41"/>
    <x v="530"/>
    <s v="금천구 독1동 1088-1외5필지(주공13단지내)"/>
    <s v="에디슨솔라이텍㈜"/>
    <n v="20"/>
    <n v="88"/>
    <n v="4.4000000000000004"/>
    <n v="1.0476190476190477"/>
    <m/>
    <n v="0"/>
    <n v="0"/>
    <n v="14.016"/>
    <m/>
    <s v="-"/>
    <s v="-"/>
    <s v="-"/>
    <s v="-"/>
    <s v="-"/>
    <n v="23360"/>
    <m/>
    <m/>
    <n v="1"/>
    <n v="0.97"/>
    <n v="22659.200000000001"/>
    <n v="23366"/>
    <n v="24360"/>
    <n v="24149"/>
    <n v="19126"/>
    <n v="15400"/>
    <n v="27062"/>
    <n v="1.1943051828837734"/>
    <m/>
    <m/>
    <s v="x"/>
    <m/>
    <m/>
    <m/>
    <m/>
    <s v="ㅇ"/>
    <s v="ㅇ"/>
  </r>
  <r>
    <n v="529"/>
    <x v="531"/>
    <n v="509"/>
    <x v="8"/>
    <n v="12"/>
    <x v="41"/>
    <x v="531"/>
    <s v="금천구 가산로5길 43"/>
    <s v="㈜이맥스시스템"/>
    <n v="5"/>
    <n v="21"/>
    <n v="4.2"/>
    <n v="1"/>
    <m/>
    <n v="0"/>
    <n v="0"/>
    <n v="3.504"/>
    <m/>
    <s v="-"/>
    <s v="-"/>
    <s v="-"/>
    <s v="-"/>
    <s v="-"/>
    <n v="5840"/>
    <m/>
    <m/>
    <n v="1"/>
    <n v="0.97"/>
    <n v="5664.8"/>
    <n v="5294"/>
    <n v="4228"/>
    <n v="5524"/>
    <n v="4554"/>
    <n v="2628"/>
    <n v="5390"/>
    <n v="0.95148990255613608"/>
    <m/>
    <m/>
    <s v="x"/>
    <m/>
    <m/>
    <m/>
    <m/>
    <s v="ㅇ"/>
    <s v="ㅇ"/>
  </r>
  <r>
    <n v="531"/>
    <x v="532"/>
    <n v="491"/>
    <x v="8"/>
    <n v="12"/>
    <x v="41"/>
    <x v="532"/>
    <s v="금천구 시흥대로37길 18"/>
    <s v="㈜이맥스시스템"/>
    <n v="3"/>
    <n v="12"/>
    <n v="4"/>
    <n v="0.95238095238095233"/>
    <m/>
    <n v="0"/>
    <n v="0"/>
    <n v="2.1024000000000003"/>
    <m/>
    <s v="-"/>
    <s v="-"/>
    <s v="-"/>
    <s v="-"/>
    <s v="-"/>
    <n v="3504.0000000000005"/>
    <m/>
    <m/>
    <n v="1"/>
    <n v="0.97"/>
    <n v="3398.8800000000006"/>
    <n v="1840"/>
    <n v="2619.3000000000002"/>
    <n v="2908"/>
    <n v="2244"/>
    <n v="1584"/>
    <n v="3141"/>
    <n v="0.92412794802993914"/>
    <m/>
    <m/>
    <s v="x"/>
    <m/>
    <m/>
    <m/>
    <m/>
    <s v="x"/>
    <s v="ㅇ"/>
  </r>
  <r>
    <n v="537"/>
    <x v="533"/>
    <n v="464"/>
    <x v="8"/>
    <n v="6"/>
    <x v="17"/>
    <x v="533"/>
    <s v="영등포구 문래로20길 49"/>
    <s v="삼광산전"/>
    <n v="15"/>
    <n v="56"/>
    <n v="3.7333333333333334"/>
    <n v="0.88888888888888884"/>
    <m/>
    <n v="0.2"/>
    <n v="2.666666666666667"/>
    <n v="10.312000000000001"/>
    <m/>
    <s v="-"/>
    <s v="-"/>
    <s v="-"/>
    <n v="0.1"/>
    <n v="0.1"/>
    <n v="17520"/>
    <m/>
    <m/>
    <n v="1"/>
    <n v="0.97"/>
    <n v="16994.399999999998"/>
    <n v="16667"/>
    <n v="16406"/>
    <n v="17255"/>
    <n v="15926.74"/>
    <n v="9200"/>
    <n v="17162"/>
    <n v="1.0098620722120228"/>
    <m/>
    <m/>
    <s v="x"/>
    <m/>
    <m/>
    <m/>
    <m/>
    <s v="ㅇ"/>
    <s v="ㅇ"/>
  </r>
  <r>
    <n v="536"/>
    <x v="534"/>
    <n v="461"/>
    <x v="8"/>
    <n v="6"/>
    <x v="17"/>
    <x v="534"/>
    <s v="영등포구 선유로43가길 10-8"/>
    <s v="삼광산전"/>
    <n v="10.8"/>
    <n v="54"/>
    <n v="5"/>
    <n v="1.1904761904761905"/>
    <s v="구조물"/>
    <n v="0.2"/>
    <n v="3.7037037037037033"/>
    <n v="7.368640000000001"/>
    <m/>
    <s v="-"/>
    <s v="-"/>
    <s v="-"/>
    <n v="0.1"/>
    <n v="0.1"/>
    <n v="12614.400000000001"/>
    <m/>
    <m/>
    <n v="1"/>
    <n v="0.97"/>
    <n v="12235.968000000001"/>
    <n v="12639"/>
    <n v="12068"/>
    <n v="12900"/>
    <n v="11185.3"/>
    <n v="5250"/>
    <n v="11644"/>
    <n v="0.95162066458493511"/>
    <m/>
    <m/>
    <s v="x"/>
    <m/>
    <m/>
    <m/>
    <m/>
    <s v="ㅇ"/>
    <s v="ㅇ"/>
  </r>
  <r>
    <n v="540"/>
    <x v="535"/>
    <n v="463"/>
    <x v="8"/>
    <n v="8"/>
    <x v="17"/>
    <x v="535"/>
    <s v="영등포구 당산로41길 7"/>
    <s v="케이디파워㈜"/>
    <n v="16.12"/>
    <n v="55.1"/>
    <n v="3.4181141439205955"/>
    <n v="0.81383670093347504"/>
    <m/>
    <n v="0.2"/>
    <n v="2.4813895781637716"/>
    <n v="11.096896000000001"/>
    <m/>
    <s v="-"/>
    <s v="-"/>
    <s v="-"/>
    <n v="0.1"/>
    <n v="0.1"/>
    <n v="18828.16"/>
    <n v="15"/>
    <n v="-32"/>
    <n v="0.95199999999999996"/>
    <n v="0.97"/>
    <n v="17386.676070399997"/>
    <s v="-"/>
    <s v="-"/>
    <s v="-"/>
    <s v="-"/>
    <s v="(누적)87031"/>
    <n v="16941"/>
    <n v="0.97436680429338995"/>
    <m/>
    <m/>
    <s v="x"/>
    <m/>
    <m/>
    <m/>
    <m/>
    <s v="ㅇ"/>
    <s v="ㅇ"/>
  </r>
  <r>
    <n v="538"/>
    <x v="536"/>
    <n v="462"/>
    <x v="8"/>
    <n v="10"/>
    <x v="17"/>
    <x v="536"/>
    <s v="영등포구 신길로41라길 13-8"/>
    <s v="삼광산전"/>
    <n v="15"/>
    <n v="51"/>
    <n v="3.4"/>
    <n v="0.80952380952380942"/>
    <m/>
    <n v="0.2"/>
    <n v="2.666666666666667"/>
    <n v="10.312000000000001"/>
    <m/>
    <s v="-"/>
    <s v="-"/>
    <s v="-"/>
    <n v="0.1"/>
    <n v="0.1"/>
    <n v="17520"/>
    <m/>
    <m/>
    <n v="1"/>
    <n v="0.97"/>
    <n v="16994.399999999998"/>
    <n v="16931"/>
    <n v="16749"/>
    <n v="16906"/>
    <n v="14907.62"/>
    <n v="10700"/>
    <n v="16183"/>
    <n v="0.95225486042461061"/>
    <m/>
    <m/>
    <s v="x"/>
    <m/>
    <m/>
    <m/>
    <m/>
    <s v="ㅇ"/>
    <s v="ㅇ"/>
  </r>
  <r>
    <n v="535"/>
    <x v="537"/>
    <n v="460"/>
    <x v="8"/>
    <n v="10"/>
    <x v="17"/>
    <x v="537"/>
    <s v="영등포구 대방천로 169"/>
    <s v="삼광산전"/>
    <n v="18"/>
    <n v="60"/>
    <n v="3.3333333333333335"/>
    <n v="0.79365079365079361"/>
    <m/>
    <n v="0.2"/>
    <n v="2.2222222222222223"/>
    <n v="12.414400000000001"/>
    <m/>
    <s v="-"/>
    <s v="-"/>
    <s v="-"/>
    <n v="0.1"/>
    <n v="0.1"/>
    <n v="21024"/>
    <m/>
    <m/>
    <n v="1"/>
    <n v="0.97"/>
    <n v="20393.28"/>
    <n v="17600"/>
    <n v="17592"/>
    <n v="18004"/>
    <n v="16903.5"/>
    <n v="11400"/>
    <n v="18539"/>
    <n v="0.90907396946445107"/>
    <m/>
    <m/>
    <s v="x"/>
    <m/>
    <m/>
    <m/>
    <m/>
    <s v="ㅇ"/>
    <s v="ㅇ"/>
  </r>
  <r>
    <n v="539"/>
    <x v="538"/>
    <n v="453"/>
    <x v="8"/>
    <n v="10"/>
    <x v="17"/>
    <x v="538"/>
    <s v="영등포구 양평동3가 57-3"/>
    <s v="삼광산전"/>
    <n v="50"/>
    <n v="160"/>
    <n v="3.2"/>
    <n v="0.76190476190476186"/>
    <m/>
    <n v="0.85799999999999998"/>
    <n v="3.4319999999999999"/>
    <n v="34.182000000000002"/>
    <m/>
    <s v="-"/>
    <s v="-"/>
    <s v="-"/>
    <n v="0.45"/>
    <n v="0.40799999999999997"/>
    <n v="58400"/>
    <m/>
    <m/>
    <n v="1"/>
    <n v="0.97"/>
    <n v="56648"/>
    <n v="54352"/>
    <n v="51778"/>
    <n v="53580"/>
    <n v="48679"/>
    <n v="27900"/>
    <n v="53264"/>
    <n v="0.94026267476345149"/>
    <m/>
    <m/>
    <s v="x"/>
    <m/>
    <m/>
    <m/>
    <m/>
    <s v="ㅇ"/>
    <s v="ㅇ"/>
  </r>
  <r>
    <n v="544"/>
    <x v="539"/>
    <n v="503"/>
    <x v="8"/>
    <n v="3"/>
    <x v="18"/>
    <x v="539"/>
    <s v="관악구 봉천로 279-7"/>
    <s v="성진이엔씨㈜"/>
    <n v="6"/>
    <n v="21.2"/>
    <n v="3.5333333333333332"/>
    <n v="0.84126984126984117"/>
    <m/>
    <n v="0"/>
    <n v="0"/>
    <n v="4.2048000000000005"/>
    <m/>
    <m/>
    <m/>
    <m/>
    <m/>
    <m/>
    <n v="7008.0000000000009"/>
    <m/>
    <m/>
    <n v="1"/>
    <n v="0.97"/>
    <n v="6797.7600000000011"/>
    <n v="6960"/>
    <n v="6960"/>
    <n v="6960"/>
    <n v="6960"/>
    <n v="4662"/>
    <n v="6450"/>
    <n v="0.94884197147295568"/>
    <m/>
    <m/>
    <s v="x"/>
    <m/>
    <m/>
    <m/>
    <m/>
    <s v="ㅇ"/>
    <s v="ㅇ"/>
  </r>
  <r>
    <n v="541"/>
    <x v="540"/>
    <n v="493"/>
    <x v="8"/>
    <n v="4"/>
    <x v="18"/>
    <x v="540"/>
    <s v="관악구 남부순환로234길 73"/>
    <s v="㈜한국스카다"/>
    <n v="38.5"/>
    <n v="147"/>
    <n v="3.8181818181818183"/>
    <n v="0.90909090909090906"/>
    <m/>
    <n v="0"/>
    <n v="0"/>
    <n v="26.980799999999999"/>
    <m/>
    <m/>
    <m/>
    <m/>
    <m/>
    <m/>
    <n v="44968"/>
    <m/>
    <m/>
    <n v="1"/>
    <n v="0.97"/>
    <n v="43618.96"/>
    <n v="39400"/>
    <n v="43300"/>
    <n v="46704"/>
    <n v="41493"/>
    <n v="30535"/>
    <n v="40555"/>
    <n v="0.92975623444483779"/>
    <m/>
    <m/>
    <s v="x"/>
    <m/>
    <m/>
    <m/>
    <m/>
    <s v="ㅇ"/>
    <s v="ㅇ"/>
  </r>
  <r>
    <n v="545"/>
    <x v="541"/>
    <n v="486"/>
    <x v="8"/>
    <n v="8"/>
    <x v="18"/>
    <x v="541"/>
    <s v="관악구 신림로3길 35"/>
    <s v="㈜한국스카다"/>
    <n v="20"/>
    <n v="50"/>
    <n v="2.5"/>
    <n v="0.59523809523809523"/>
    <s v="구조물"/>
    <n v="0"/>
    <n v="0"/>
    <n v="14.016"/>
    <m/>
    <m/>
    <m/>
    <m/>
    <m/>
    <m/>
    <n v="23360"/>
    <m/>
    <m/>
    <n v="1"/>
    <n v="0.97"/>
    <n v="22659.200000000001"/>
    <s v="-"/>
    <s v="-"/>
    <n v="24464"/>
    <n v="21319"/>
    <n v="14966"/>
    <n v="20555"/>
    <n v="0.90713705691286539"/>
    <m/>
    <m/>
    <s v="x"/>
    <m/>
    <m/>
    <m/>
    <m/>
    <s v="ㅇ"/>
    <s v="ㅇ"/>
  </r>
  <r>
    <n v="543"/>
    <x v="542"/>
    <n v="483"/>
    <x v="8"/>
    <n v="8"/>
    <x v="18"/>
    <x v="542"/>
    <s v="관악구 신림로3길 35"/>
    <s v="(주)이맥스시스템"/>
    <n v="50"/>
    <n v="249.5"/>
    <n v="4.99"/>
    <n v="1.1880952380952381"/>
    <s v="구조물"/>
    <n v="0"/>
    <n v="0"/>
    <n v="35.04"/>
    <m/>
    <m/>
    <m/>
    <m/>
    <m/>
    <m/>
    <n v="58400"/>
    <m/>
    <m/>
    <n v="1"/>
    <n v="0.97"/>
    <n v="56648"/>
    <n v="49813"/>
    <n v="51809"/>
    <n v="51317"/>
    <n v="49403"/>
    <n v="27696"/>
    <n v="49664"/>
    <n v="0.87671232876712324"/>
    <m/>
    <s v=" 장마 등으로 발전효율 저하"/>
    <s v="x"/>
    <m/>
    <m/>
    <m/>
    <m/>
    <s v="ㅇ"/>
    <s v="ㅇ"/>
  </r>
  <r>
    <n v="542"/>
    <x v="543"/>
    <n v="468"/>
    <x v="8"/>
    <n v="8"/>
    <x v="18"/>
    <x v="543"/>
    <s v="관악구 난곡로58길 13"/>
    <s v="(주)이맥스시스템"/>
    <n v="15"/>
    <n v="50"/>
    <n v="3.3333333333333335"/>
    <n v="0.79365079365079361"/>
    <m/>
    <n v="0"/>
    <n v="0"/>
    <n v="10.512"/>
    <m/>
    <m/>
    <m/>
    <m/>
    <m/>
    <m/>
    <n v="17520"/>
    <n v="0"/>
    <n v="0"/>
    <n v="0.88400000000000001"/>
    <n v="0.97"/>
    <n v="15023.0496"/>
    <n v="11173"/>
    <n v="9855"/>
    <n v="10389"/>
    <n v="7652"/>
    <n v="4700"/>
    <n v="8653"/>
    <n v="0.57598159031572393"/>
    <s v="기타(디자인고려 경사각 낮음)"/>
    <s v="경사각이 없어 불순물이 고착하여 발전효율 저하"/>
    <s v="x"/>
    <m/>
    <m/>
    <m/>
    <m/>
    <s v="ㅇ"/>
    <s v="ㅇ"/>
  </r>
  <r>
    <n v="546"/>
    <x v="544"/>
    <n v="513"/>
    <x v="8"/>
    <n v="11"/>
    <x v="43"/>
    <x v="544"/>
    <s v="서초구 남부순환로340길 58"/>
    <s v="신흥트래픽㈜"/>
    <n v="60.69"/>
    <n v="208"/>
    <n v="3.4272532542428737"/>
    <n v="0.81601267958163659"/>
    <m/>
    <n v="0"/>
    <n v="0"/>
    <n v="42.531551999999998"/>
    <m/>
    <s v="-"/>
    <s v="-"/>
    <s v="-"/>
    <n v="0"/>
    <s v="-"/>
    <n v="70885.919999999998"/>
    <n v="28"/>
    <m/>
    <n v="1"/>
    <n v="0.97"/>
    <n v="68759.342399999994"/>
    <n v="71055"/>
    <n v="71350"/>
    <n v="70639"/>
    <n v="70180"/>
    <n v="36323"/>
    <n v="67095"/>
    <n v="0.97579467252147556"/>
    <m/>
    <m/>
    <s v="x"/>
    <m/>
    <m/>
    <m/>
    <m/>
    <s v="x"/>
    <s v="x"/>
  </r>
  <r>
    <n v="548"/>
    <x v="545"/>
    <n v="505"/>
    <x v="8"/>
    <n v="3"/>
    <x v="45"/>
    <x v="545"/>
    <s v="송파구 위례순환로 413"/>
    <s v="solarpark/케이디티"/>
    <n v="24.38"/>
    <n v="94"/>
    <n v="3.8556193601312554"/>
    <n v="0.9180046095550608"/>
    <m/>
    <n v="0"/>
    <n v="0"/>
    <n v="17.085504"/>
    <m/>
    <s v="-"/>
    <s v="-"/>
    <s v="-"/>
    <s v="-"/>
    <s v="-"/>
    <n v="28475.84"/>
    <m/>
    <m/>
    <n v="1"/>
    <n v="0.97"/>
    <n v="27621.5648"/>
    <n v="32000"/>
    <n v="30792"/>
    <n v="30815"/>
    <n v="29555"/>
    <s v="(누적)163600"/>
    <n v="26247"/>
    <n v="0.95023580995671908"/>
    <m/>
    <m/>
    <s v="x"/>
    <m/>
    <m/>
    <m/>
    <m/>
    <s v="ㅇ"/>
    <s v="ㅇ"/>
  </r>
  <r>
    <n v="547"/>
    <x v="546"/>
    <n v="488"/>
    <x v="8"/>
    <n v="10"/>
    <x v="45"/>
    <x v="546"/>
    <s v="송파구 동남로 263"/>
    <s v="(주)솔라파크코리아/(주)광명전기"/>
    <n v="35"/>
    <n v="94"/>
    <n v="2.6857142857142855"/>
    <n v="0.6394557823129251"/>
    <m/>
    <n v="0"/>
    <n v="0"/>
    <n v="24.527999999999999"/>
    <m/>
    <s v="-"/>
    <s v="-"/>
    <s v="-"/>
    <s v="-"/>
    <s v="-"/>
    <n v="40880"/>
    <m/>
    <m/>
    <n v="1"/>
    <n v="0.97"/>
    <n v="39653.599999999999"/>
    <n v="38733"/>
    <n v="40543"/>
    <n v="40696"/>
    <n v="35293"/>
    <n v="22124"/>
    <n v="36384"/>
    <n v="0.91754594790889099"/>
    <m/>
    <m/>
    <s v="x"/>
    <m/>
    <m/>
    <m/>
    <m/>
    <s v="ㅇ"/>
    <s v="ㅇ"/>
  </r>
  <r>
    <n v="552"/>
    <x v="547"/>
    <n v="531"/>
    <x v="8"/>
    <n v="10"/>
    <x v="45"/>
    <x v="547"/>
    <s v="송파구 중대로4길 4"/>
    <s v="(주)솔라파크코리아"/>
    <n v="30"/>
    <n v="89"/>
    <n v="2.9666666666666668"/>
    <n v="0.70634920634920639"/>
    <m/>
    <n v="0"/>
    <n v="0"/>
    <n v="21.024000000000001"/>
    <m/>
    <s v="-"/>
    <s v="-"/>
    <s v="-"/>
    <s v="-"/>
    <s v="-"/>
    <n v="35040"/>
    <m/>
    <m/>
    <n v="1"/>
    <n v="0.97"/>
    <n v="33988.799999999996"/>
    <n v="39342"/>
    <n v="38469"/>
    <n v="38514"/>
    <n v="32714"/>
    <n v="21346"/>
    <n v="34954"/>
    <n v="1.0283975897942854"/>
    <m/>
    <m/>
    <s v="x"/>
    <m/>
    <m/>
    <m/>
    <m/>
    <s v="ㅇ"/>
    <s v="ㅇ"/>
  </r>
  <r>
    <n v="551"/>
    <x v="548"/>
    <n v="553"/>
    <x v="8"/>
    <n v="12"/>
    <x v="45"/>
    <x v="548"/>
    <s v="송파구 마천로 287"/>
    <s v="(주)럭스코/헥스파워시스템㈜"/>
    <n v="3"/>
    <n v="8"/>
    <n v="2.6666666666666665"/>
    <n v="0.63492063492063489"/>
    <m/>
    <n v="0"/>
    <n v="0"/>
    <n v="2.1024000000000003"/>
    <m/>
    <s v="-"/>
    <s v="-"/>
    <s v="-"/>
    <n v="0"/>
    <s v="-"/>
    <n v="3504.0000000000005"/>
    <n v="35"/>
    <n v="0"/>
    <n v="0.88400000000000001"/>
    <n v="0.97"/>
    <n v="3004.6099200000003"/>
    <s v="-"/>
    <s v="-"/>
    <n v="4145"/>
    <s v="-"/>
    <n v="2357"/>
    <n v="3545"/>
    <n v="1.1798536563441817"/>
    <m/>
    <m/>
    <s v="x"/>
    <m/>
    <m/>
    <m/>
    <m/>
    <s v="ㅇ"/>
    <s v="ㅇ"/>
  </r>
  <r>
    <n v="549"/>
    <x v="549"/>
    <n v="465"/>
    <x v="8"/>
    <n v="12"/>
    <x v="45"/>
    <x v="549"/>
    <s v="송파구 토성로19길 37"/>
    <s v="(주)럭스코/헥스파워시스템㈜"/>
    <n v="3"/>
    <n v="8"/>
    <n v="2.6666666666666665"/>
    <n v="0.63492063492063489"/>
    <m/>
    <n v="0.16"/>
    <n v="10.666666666666668"/>
    <n v="1.9424000000000003"/>
    <m/>
    <s v="-"/>
    <n v="0.1"/>
    <s v="-"/>
    <n v="0"/>
    <n v="0.06"/>
    <n v="3504.0000000000005"/>
    <m/>
    <m/>
    <n v="1"/>
    <n v="0.97"/>
    <n v="3398.8800000000006"/>
    <s v="-"/>
    <s v="-"/>
    <n v="3600"/>
    <s v="-"/>
    <n v="2327"/>
    <n v="3677"/>
    <n v="1.0818269547615684"/>
    <m/>
    <m/>
    <s v="x"/>
    <m/>
    <m/>
    <m/>
    <m/>
    <s v="ㅇ"/>
    <s v="ㅇ"/>
  </r>
  <r>
    <n v="553"/>
    <x v="550"/>
    <n v="492"/>
    <x v="8"/>
    <n v="8"/>
    <x v="46"/>
    <x v="550"/>
    <s v="강동구 양재대로 103길 28"/>
    <s v="㈜제이에이치에너지"/>
    <n v="3"/>
    <n v="8"/>
    <n v="2.6666666666666665"/>
    <n v="0.63492063492063489"/>
    <m/>
    <n v="0"/>
    <n v="0"/>
    <n v="2.1024000000000003"/>
    <m/>
    <s v="-"/>
    <s v="-"/>
    <s v="-"/>
    <s v="-"/>
    <s v="-"/>
    <n v="3504.0000000000005"/>
    <m/>
    <m/>
    <n v="1"/>
    <n v="0.97"/>
    <n v="3398.8800000000006"/>
    <n v="0"/>
    <s v="-"/>
    <n v="3504"/>
    <n v="3504"/>
    <n v="1700"/>
    <n v="3157"/>
    <n v="0.92883538106670416"/>
    <m/>
    <m/>
    <s v="x"/>
    <m/>
    <m/>
    <m/>
    <m/>
    <s v="ㅇ"/>
    <s v="ㅇ"/>
  </r>
  <r>
    <n v="554"/>
    <x v="551"/>
    <n v="540"/>
    <x v="8"/>
    <n v="12"/>
    <x v="46"/>
    <x v="551"/>
    <s v="강동구 강일동 291-3"/>
    <s v="㈜한국스카다"/>
    <n v="5"/>
    <n v="16"/>
    <n v="3.2"/>
    <n v="0.76190476190476186"/>
    <m/>
    <n v="0"/>
    <n v="0"/>
    <n v="3.504"/>
    <m/>
    <s v="-"/>
    <s v="-"/>
    <s v="-"/>
    <s v="-"/>
    <s v="-"/>
    <n v="5840"/>
    <m/>
    <m/>
    <n v="1"/>
    <n v="0.97"/>
    <n v="5664.8"/>
    <n v="4712"/>
    <n v="6464"/>
    <n v="5840"/>
    <n v="5840"/>
    <n v="3074"/>
    <n v="6043"/>
    <n v="1.0667631690439203"/>
    <m/>
    <m/>
    <s v="x"/>
    <m/>
    <m/>
    <m/>
    <m/>
    <s v="ㅇ"/>
    <s v="ㅇ"/>
  </r>
  <r>
    <n v="555"/>
    <x v="552"/>
    <n v="514"/>
    <x v="8"/>
    <n v="12"/>
    <x v="46"/>
    <x v="552"/>
    <s v="강동구 양재대로156길 123"/>
    <s v="㈜한국스카다"/>
    <n v="8"/>
    <n v="25"/>
    <n v="3.125"/>
    <n v="0.74404761904761907"/>
    <m/>
    <n v="0"/>
    <n v="0"/>
    <n v="5.6063999999999998"/>
    <m/>
    <s v="-"/>
    <s v="-"/>
    <s v="-"/>
    <s v="-"/>
    <s v="-"/>
    <n v="9344"/>
    <m/>
    <m/>
    <n v="1"/>
    <n v="0.97"/>
    <n v="9063.68"/>
    <n v="8751"/>
    <n v="9514"/>
    <n v="9344"/>
    <n v="9344"/>
    <n v="5800"/>
    <n v="8850"/>
    <n v="0.97642458692275103"/>
    <m/>
    <m/>
    <s v="x"/>
    <m/>
    <m/>
    <m/>
    <m/>
    <s v="ㅇ"/>
    <s v="ㅇ"/>
  </r>
  <r>
    <n v="556"/>
    <x v="553"/>
    <n v="532"/>
    <x v="8"/>
    <n v="12"/>
    <x v="46"/>
    <x v="553"/>
    <s v="강동구 아리수로78길 43-12"/>
    <s v="㈜한국스카다"/>
    <n v="5"/>
    <n v="16"/>
    <n v="3.2"/>
    <n v="0.76190476190476186"/>
    <m/>
    <n v="0"/>
    <n v="0"/>
    <n v="3.504"/>
    <m/>
    <s v="-"/>
    <s v="-"/>
    <s v="-"/>
    <s v="-"/>
    <s v="-"/>
    <n v="5840"/>
    <m/>
    <m/>
    <n v="1"/>
    <n v="0.97"/>
    <n v="5664.8"/>
    <n v="2268"/>
    <n v="0"/>
    <n v="5840"/>
    <n v="6387"/>
    <n v="3675"/>
    <n v="5840"/>
    <n v="1.0309278350515463"/>
    <m/>
    <m/>
    <s v="x"/>
    <m/>
    <m/>
    <m/>
    <m/>
    <s v="ㅇ"/>
    <s v="ㅇ"/>
  </r>
  <r>
    <n v="557"/>
    <x v="554"/>
    <n v="536"/>
    <x v="8"/>
    <n v="12"/>
    <x v="46"/>
    <x v="554"/>
    <s v="강동구 천중로12길 23-40"/>
    <s v="㈜한국스카다"/>
    <n v="10"/>
    <n v="31"/>
    <n v="3.1"/>
    <n v="0.73809523809523814"/>
    <m/>
    <n v="0"/>
    <n v="0"/>
    <n v="7.008"/>
    <m/>
    <s v="-"/>
    <s v="-"/>
    <s v="-"/>
    <s v="-"/>
    <s v="-"/>
    <n v="11680"/>
    <m/>
    <m/>
    <n v="1"/>
    <n v="0.97"/>
    <n v="11329.6"/>
    <n v="11372"/>
    <n v="11922"/>
    <n v="11680"/>
    <n v="11680"/>
    <n v="7700"/>
    <n v="11918"/>
    <n v="1.0519347549781104"/>
    <m/>
    <m/>
    <s v="x"/>
    <m/>
    <m/>
    <m/>
    <m/>
    <s v="ㅇ"/>
    <s v="ㅇ"/>
  </r>
  <r>
    <n v="558"/>
    <x v="555"/>
    <n v="518"/>
    <x v="8"/>
    <n v="12"/>
    <x v="46"/>
    <x v="555"/>
    <s v="강동구 올림픽로98가길 57"/>
    <s v="㈜한국스카다"/>
    <n v="10"/>
    <n v="31"/>
    <n v="3.1"/>
    <n v="0.73809523809523814"/>
    <m/>
    <n v="0"/>
    <n v="0"/>
    <n v="7.008"/>
    <m/>
    <s v="-"/>
    <s v="-"/>
    <s v="-"/>
    <s v="-"/>
    <s v="-"/>
    <n v="11680"/>
    <m/>
    <m/>
    <n v="1"/>
    <n v="0.97"/>
    <n v="11329.6"/>
    <n v="11104"/>
    <n v="11703"/>
    <n v="11680"/>
    <n v="11680"/>
    <n v="7198"/>
    <n v="11176"/>
    <n v="0.98644259285411662"/>
    <m/>
    <m/>
    <s v="x"/>
    <m/>
    <m/>
    <m/>
    <m/>
    <s v="ㅇ"/>
    <s v="ㅇ"/>
  </r>
  <r>
    <n v="559"/>
    <x v="556"/>
    <n v="524"/>
    <x v="8"/>
    <n v="12"/>
    <x v="46"/>
    <x v="556"/>
    <s v="강동구 올림픽로 112길 8"/>
    <s v="한국스카다"/>
    <n v="3"/>
    <n v="10"/>
    <n v="3.3333333333333335"/>
    <n v="0.79365079365079361"/>
    <m/>
    <n v="0"/>
    <n v="0"/>
    <n v="2.1024000000000003"/>
    <m/>
    <s v="-"/>
    <s v="-"/>
    <s v="-"/>
    <s v="-"/>
    <s v="-"/>
    <n v="3504.0000000000005"/>
    <m/>
    <m/>
    <n v="1"/>
    <n v="0.97"/>
    <n v="3398.8800000000006"/>
    <n v="3429"/>
    <n v="4176"/>
    <n v="3504"/>
    <n v="3504"/>
    <n v="2111"/>
    <n v="3404"/>
    <n v="1.0015063785717646"/>
    <m/>
    <m/>
    <s v="x"/>
    <m/>
    <m/>
    <m/>
    <m/>
    <s v="ㅇ"/>
    <s v="ㅇ"/>
  </r>
  <r>
    <s v="누락"/>
    <x v="557"/>
    <n v="502"/>
    <x v="8"/>
    <n v="10"/>
    <x v="46"/>
    <x v="557"/>
    <s v="강동구 상일동 337-2 "/>
    <s v="㈜케이디파워"/>
    <n v="3"/>
    <n v="12.021000000000001"/>
    <n v="4.0070000000000006"/>
    <n v="0.95404761904761914"/>
    <m/>
    <n v="0"/>
    <n v="0"/>
    <n v="2.1024000000000003"/>
    <m/>
    <s v="-"/>
    <s v="-"/>
    <s v="-"/>
    <s v="-"/>
    <s v="-"/>
    <n v="3504.0000000000005"/>
    <m/>
    <m/>
    <n v="1"/>
    <n v="0.97"/>
    <n v="3398.8800000000006"/>
    <s v="-"/>
    <s v="-"/>
    <n v="3414"/>
    <n v="3510"/>
    <n v="3454"/>
    <n v="3321"/>
    <n v="0.94777397260273977"/>
    <m/>
    <m/>
    <s v="x"/>
    <m/>
    <m/>
    <m/>
    <m/>
    <s v="ㅇ"/>
    <s v="ㅇ"/>
  </r>
  <r>
    <n v="647"/>
    <x v="558"/>
    <n v="562"/>
    <x v="9"/>
    <n v="3"/>
    <x v="75"/>
    <x v="558"/>
    <s v="마포구 매봉산로 31"/>
    <s v="S - 에너지"/>
    <n v="95.6"/>
    <n v="1271"/>
    <n v="13.294979079497908"/>
    <n v="3.9011088848291986"/>
    <s v="BIPV"/>
    <n v="0.15"/>
    <n v="0.31380753138075312"/>
    <n v="66.84648"/>
    <s v="수리비용"/>
    <s v="-"/>
    <s v="-"/>
    <s v="-"/>
    <s v="-"/>
    <n v="0.15"/>
    <n v="111660.8"/>
    <n v="90"/>
    <n v="50"/>
    <n v="0.64700000000000002"/>
    <n v="0.97499999999999998"/>
    <n v="70438.424159999995"/>
    <n v="31269.1"/>
    <n v="37771.57"/>
    <n v="52422"/>
    <n v="47530"/>
    <n v="22804.89"/>
    <n v="46942"/>
    <n v="0.66642603890984042"/>
    <s v="BIPV"/>
    <s v="1. BIPV 벽부수직형으로설치_x000a_2. 'ㄱ'자 건물구조로 음영발생"/>
    <s v="ㅇ"/>
    <s v="인버터"/>
    <n v="0.15"/>
    <n v="4"/>
    <m/>
    <s v="ㅇ"/>
    <s v="ㅇ"/>
  </r>
  <r>
    <n v="560"/>
    <x v="559"/>
    <n v="579"/>
    <x v="9"/>
    <n v="10"/>
    <x v="76"/>
    <x v="559"/>
    <s v="강남구 개포로 416"/>
    <s v="케이디파워㈜"/>
    <n v="10"/>
    <n v="50"/>
    <n v="5"/>
    <n v="1.4671361502347418"/>
    <s v="구조물"/>
    <n v="0"/>
    <n v="0"/>
    <n v="7.008"/>
    <m/>
    <s v="-"/>
    <s v="-"/>
    <s v="-"/>
    <s v="-"/>
    <s v="-"/>
    <n v="11680"/>
    <n v="5"/>
    <n v="0"/>
    <n v="0.95"/>
    <n v="0.97499999999999998"/>
    <n v="10818.599999999999"/>
    <n v="1629"/>
    <n v="11460"/>
    <n v="10957"/>
    <n v="9284"/>
    <n v="1305"/>
    <n v="4767"/>
    <n v="0.44063002606621937"/>
    <s v="건물리모델링"/>
    <s v="20년 1~6월 개포디지털혁신파크 건물 전면 리모델링으로 태양광 운영 중단"/>
    <s v="x"/>
    <m/>
    <m/>
    <m/>
    <m/>
    <s v="ㅇ"/>
    <s v="ㅇ"/>
  </r>
  <r>
    <n v="561"/>
    <x v="560"/>
    <n v="633"/>
    <x v="9"/>
    <n v="2"/>
    <x v="34"/>
    <x v="560"/>
    <s v="용산구 이태원로 224-19"/>
    <s v="케이디파워㈜"/>
    <n v="54"/>
    <n v="163"/>
    <n v="3.0185185185185186"/>
    <n v="0.88571552773430717"/>
    <m/>
    <n v="0"/>
    <n v="0"/>
    <n v="37.84320000000001"/>
    <m/>
    <s v="-"/>
    <s v="-"/>
    <s v="-"/>
    <s v="-"/>
    <s v="-"/>
    <n v="63072.000000000007"/>
    <m/>
    <m/>
    <n v="1"/>
    <n v="0.97499999999999998"/>
    <n v="61495.200000000004"/>
    <n v="53403"/>
    <n v="71886"/>
    <n v="71755"/>
    <n v="69195"/>
    <n v="42704"/>
    <n v="67561"/>
    <n v="1.0986385929308302"/>
    <m/>
    <m/>
    <s v="x"/>
    <m/>
    <m/>
    <m/>
    <m/>
    <s v="ㅇ"/>
    <s v="ㅇ"/>
  </r>
  <r>
    <n v="563"/>
    <x v="561"/>
    <n v="589"/>
    <x v="9"/>
    <n v="7"/>
    <x v="21"/>
    <x v="561"/>
    <s v="양천구 목동서로 20"/>
    <s v="㈜에너솔라"/>
    <n v="20"/>
    <n v="76"/>
    <n v="3.8"/>
    <n v="1.1150234741784038"/>
    <s v="BIPV"/>
    <n v="0"/>
    <n v="0"/>
    <n v="14.016"/>
    <m/>
    <s v="-"/>
    <s v="-"/>
    <s v="-"/>
    <s v="-"/>
    <s v="-"/>
    <n v="23360"/>
    <n v="25"/>
    <n v="-25"/>
    <n v="0.98499999999999999"/>
    <n v="0.97499999999999998"/>
    <n v="22434.36"/>
    <n v="10161"/>
    <n v="25404"/>
    <n v="24133"/>
    <n v="18633"/>
    <n v="10216"/>
    <n v="18030"/>
    <n v="0.80367792974704866"/>
    <m/>
    <s v="일조량 부족"/>
    <s v="x"/>
    <m/>
    <m/>
    <m/>
    <m/>
    <s v="ㅇ"/>
    <s v="ㅇ"/>
  </r>
  <r>
    <n v="562"/>
    <x v="562"/>
    <n v="608"/>
    <x v="9"/>
    <n v="12"/>
    <x v="77"/>
    <x v="562"/>
    <s v="성동구 청계천로 500"/>
    <s v="(주)코텍에너지"/>
    <n v="14"/>
    <n v="40"/>
    <n v="2.8571428571428572"/>
    <n v="0.83836351441985246"/>
    <m/>
    <n v="0"/>
    <n v="0"/>
    <n v="9.8112000000000013"/>
    <m/>
    <s v="-"/>
    <s v="-"/>
    <s v="-"/>
    <s v="-"/>
    <s v="-"/>
    <n v="16352.000000000002"/>
    <n v="0"/>
    <n v="0"/>
    <n v="1"/>
    <n v="0.97499999999999998"/>
    <n v="15943.2"/>
    <n v="700"/>
    <n v="16000"/>
    <n v="16207"/>
    <n v="15767"/>
    <n v="8526"/>
    <n v="14944"/>
    <n v="0.93732751266997838"/>
    <m/>
    <m/>
    <s v="x"/>
    <m/>
    <m/>
    <m/>
    <m/>
    <s v="ㅇ"/>
    <s v="ㅇ"/>
  </r>
  <r>
    <n v="564"/>
    <x v="563"/>
    <n v="587"/>
    <x v="9"/>
    <n v="9"/>
    <x v="78"/>
    <x v="563"/>
    <s v="종로구 행촌동 210-333"/>
    <s v="㈜에너솔라"/>
    <n v="4"/>
    <n v="29"/>
    <n v="7.25"/>
    <n v="2.1273474178403755"/>
    <s v="BIPV"/>
    <n v="0"/>
    <n v="0"/>
    <n v="2.8031999999999999"/>
    <m/>
    <s v="-"/>
    <s v="-"/>
    <s v="-"/>
    <s v="-"/>
    <s v="-"/>
    <n v="4672"/>
    <n v="90"/>
    <n v="40"/>
    <n v="0.66200000000000003"/>
    <n v="0.97499999999999998"/>
    <n v="3015.5423999999998"/>
    <n v="671"/>
    <n v="2483"/>
    <n v="2341"/>
    <n v="2411"/>
    <n v="2290"/>
    <n v="2366.9999999999995"/>
    <n v="0.78493341695344743"/>
    <s v="BIPV"/>
    <s v="BIPV 형태, 남동남서 벽면 수직설치 및 지붕설치, "/>
    <s v="x"/>
    <m/>
    <m/>
    <m/>
    <m/>
    <s v="ㅇ"/>
    <s v="ㅇ"/>
  </r>
  <r>
    <n v="565"/>
    <x v="564"/>
    <n v="617"/>
    <x v="9"/>
    <n v="9"/>
    <x v="78"/>
    <x v="564"/>
    <s v="종로구 무악동 46-1902"/>
    <s v="㈜에너솔라"/>
    <n v="7"/>
    <n v="57"/>
    <n v="8.1428571428571423"/>
    <n v="2.3893360160965793"/>
    <s v="BIPV"/>
    <n v="0"/>
    <n v="0"/>
    <n v="4.9056000000000006"/>
    <m/>
    <s v="-"/>
    <s v="-"/>
    <s v="-"/>
    <s v="-"/>
    <s v="-"/>
    <n v="8176.0000000000009"/>
    <n v="90"/>
    <n v="-50"/>
    <n v="0.64600000000000002"/>
    <n v="0.97499999999999998"/>
    <n v="5149.6536000000006"/>
    <n v="1879"/>
    <n v="6614"/>
    <n v="4415"/>
    <n v="460"/>
    <n v="2234"/>
    <n v="5091"/>
    <n v="0.98861018535304968"/>
    <m/>
    <m/>
    <s v="x"/>
    <m/>
    <m/>
    <m/>
    <m/>
    <s v="ㅇ"/>
    <s v="ㅇ"/>
  </r>
  <r>
    <n v="567"/>
    <x v="565"/>
    <n v="622"/>
    <x v="9"/>
    <n v="5"/>
    <x v="49"/>
    <x v="565"/>
    <s v="서초구 남부순환로 2155"/>
    <s v="한양전공㈜"/>
    <n v="10"/>
    <n v="34"/>
    <n v="3.4"/>
    <n v="0.99765258215962438"/>
    <m/>
    <n v="0"/>
    <n v="0"/>
    <n v="7.008"/>
    <m/>
    <s v="-"/>
    <s v="-"/>
    <s v="-"/>
    <s v="-"/>
    <s v="-"/>
    <n v="11680"/>
    <n v="15"/>
    <n v="-40"/>
    <n v="0.94299999999999995"/>
    <n v="0.97499999999999998"/>
    <n v="10738.884"/>
    <n v="4780"/>
    <n v="9520"/>
    <n v="14335"/>
    <n v="5024"/>
    <n v="4512"/>
    <n v="10993.32"/>
    <n v="1.0236929647438224"/>
    <m/>
    <m/>
    <s v="x"/>
    <m/>
    <m/>
    <m/>
    <m/>
    <s v="ㅇ"/>
    <s v="ㅇ"/>
  </r>
  <r>
    <n v="568"/>
    <x v="566"/>
    <n v="640"/>
    <x v="9"/>
    <n v="5"/>
    <x v="49"/>
    <x v="566"/>
    <s v="서대문구 증가로 242"/>
    <s v="㈜한양전공"/>
    <n v="20"/>
    <n v="63"/>
    <n v="3.15"/>
    <n v="0.92429577464788737"/>
    <m/>
    <n v="0"/>
    <n v="0"/>
    <n v="14.016"/>
    <m/>
    <s v="-"/>
    <s v="-"/>
    <s v="-"/>
    <s v="-"/>
    <s v="-"/>
    <n v="23360"/>
    <n v="10"/>
    <n v="60"/>
    <n v="0.91100000000000003"/>
    <n v="0.97499999999999998"/>
    <n v="20748.936000000002"/>
    <n v="14600.7"/>
    <n v="24806.1"/>
    <n v="25109.7"/>
    <n v="24452.3"/>
    <n v="15015"/>
    <n v="23253"/>
    <n v="1.1206839714576207"/>
    <m/>
    <m/>
    <s v="x"/>
    <m/>
    <m/>
    <m/>
    <m/>
    <s v="ㅇ"/>
    <s v="ㅇ"/>
  </r>
  <r>
    <n v="566"/>
    <x v="567"/>
    <n v="606"/>
    <x v="9"/>
    <n v="10"/>
    <x v="49"/>
    <x v="567"/>
    <s v="관악구 난곡로 243"/>
    <s v="현대에코솔라"/>
    <n v="10"/>
    <n v="27.977"/>
    <n v="2.7976999999999999"/>
    <n v="0.8209213615023474"/>
    <m/>
    <n v="0"/>
    <n v="0"/>
    <n v="7.008"/>
    <m/>
    <s v="-"/>
    <s v="-"/>
    <s v="-"/>
    <s v="-"/>
    <s v="-"/>
    <n v="11680"/>
    <n v="13"/>
    <n v="-10"/>
    <n v="0.94099999999999995"/>
    <n v="0.97499999999999998"/>
    <n v="10716.107999999998"/>
    <n v="1694"/>
    <n v="9414"/>
    <n v="8951"/>
    <n v="9075"/>
    <n v="5488"/>
    <n v="9985"/>
    <n v="0.93177485706564378"/>
    <m/>
    <m/>
    <s v="x"/>
    <m/>
    <m/>
    <m/>
    <m/>
    <s v="ㅇ"/>
    <s v="ㅇ"/>
  </r>
  <r>
    <n v="569"/>
    <x v="568"/>
    <n v="613"/>
    <x v="9"/>
    <n v="10"/>
    <x v="49"/>
    <x v="568"/>
    <s v="관악구 봉천로 202"/>
    <s v="현대에코솔라"/>
    <n v="10"/>
    <n v="34.395000000000003"/>
    <n v="3.4395000000000002"/>
    <n v="1.009242957746479"/>
    <m/>
    <n v="0"/>
    <n v="0"/>
    <n v="7.008"/>
    <m/>
    <s v="-"/>
    <s v="-"/>
    <s v="-"/>
    <s v="-"/>
    <s v="-"/>
    <n v="11680"/>
    <n v="9"/>
    <n v="0"/>
    <n v="0.94199999999999995"/>
    <n v="0.97499999999999998"/>
    <n v="10727.495999999999"/>
    <n v="2035"/>
    <n v="12614"/>
    <n v="12325"/>
    <n v="10705"/>
    <n v="6809"/>
    <n v="10484"/>
    <n v="0.9773016927715471"/>
    <m/>
    <m/>
    <s v="x"/>
    <m/>
    <m/>
    <m/>
    <m/>
    <s v="ㅇ"/>
    <s v="ㅇ"/>
  </r>
  <r>
    <n v="570"/>
    <x v="569"/>
    <n v="644"/>
    <x v="9"/>
    <n v="10"/>
    <x v="50"/>
    <x v="569"/>
    <s v="동대문구 서울시립대로 163"/>
    <s v="에디슨솔라이텍㈜"/>
    <n v="30"/>
    <n v="100.819"/>
    <n v="3.3606333333333334"/>
    <n v="0.98610133020344293"/>
    <m/>
    <n v="0"/>
    <n v="0"/>
    <n v="21.024000000000001"/>
    <m/>
    <s v="-"/>
    <s v="-"/>
    <s v="-"/>
    <s v="-"/>
    <s v="-"/>
    <n v="35040"/>
    <m/>
    <m/>
    <n v="1"/>
    <n v="0.97499999999999998"/>
    <n v="34164"/>
    <n v="52563"/>
    <n v="48567"/>
    <n v="44080"/>
    <n v="53238"/>
    <n v="25504"/>
    <n v="40194"/>
    <n v="1.1765015806111696"/>
    <m/>
    <m/>
    <s v="x"/>
    <m/>
    <m/>
    <m/>
    <m/>
    <s v="ㅇ"/>
    <s v="ㅇ"/>
  </r>
  <r>
    <n v="573"/>
    <x v="570"/>
    <n v="609"/>
    <x v="9"/>
    <n v="5"/>
    <x v="26"/>
    <x v="570"/>
    <s v="광진구 자양동 427-1"/>
    <s v="이앤에이치㈜"/>
    <n v="2.4"/>
    <n v="10"/>
    <n v="4.166666666666667"/>
    <n v="1.2226134585289516"/>
    <s v="구조물"/>
    <n v="0"/>
    <n v="0"/>
    <n v="1.6819200000000001"/>
    <m/>
    <s v="-"/>
    <s v="-"/>
    <s v="-"/>
    <s v="-"/>
    <s v="-"/>
    <n v="2803.2"/>
    <m/>
    <m/>
    <n v="1"/>
    <n v="0.97499999999999998"/>
    <n v="2733.12"/>
    <s v="-"/>
    <s v="-"/>
    <s v="-"/>
    <s v="-"/>
    <n v="1168"/>
    <n v="2578"/>
    <n v="0.94324435077859736"/>
    <m/>
    <m/>
    <s v="x"/>
    <m/>
    <m/>
    <m/>
    <m/>
    <s v="ㅇ"/>
    <s v="ㅇ"/>
  </r>
  <r>
    <n v="574"/>
    <x v="571"/>
    <n v="612"/>
    <x v="9"/>
    <n v="5"/>
    <x v="26"/>
    <x v="571"/>
    <s v="광진구 자양동 112"/>
    <s v="이앤에이치㈜"/>
    <n v="42"/>
    <n v="177"/>
    <n v="4.2142857142857144"/>
    <n v="1.2365861837692824"/>
    <s v="구조물"/>
    <n v="0"/>
    <n v="0"/>
    <n v="29.433599999999998"/>
    <m/>
    <s v="-"/>
    <s v="-"/>
    <s v="-"/>
    <s v="-"/>
    <s v="-"/>
    <n v="49056"/>
    <m/>
    <m/>
    <n v="1"/>
    <n v="0.97499999999999998"/>
    <n v="47829.599999999999"/>
    <n v="20712"/>
    <n v="51683"/>
    <n v="50912"/>
    <n v="65104"/>
    <n v="30307"/>
    <n v="46592"/>
    <n v="0.97412480974124815"/>
    <m/>
    <m/>
    <s v="x"/>
    <m/>
    <m/>
    <m/>
    <m/>
    <s v="ㅇ"/>
    <s v="ㅇ"/>
  </r>
  <r>
    <n v="575"/>
    <x v="572"/>
    <n v="620"/>
    <x v="9"/>
    <n v="5"/>
    <x v="26"/>
    <x v="572"/>
    <s v="광진구 자양동 427-1"/>
    <s v="이엔에이치㈜"/>
    <n v="6"/>
    <n v="26"/>
    <n v="4.333333333333333"/>
    <n v="1.2715179968701096"/>
    <s v="구조물"/>
    <n v="0"/>
    <n v="0"/>
    <n v="4.2048000000000005"/>
    <m/>
    <s v="-"/>
    <s v="-"/>
    <s v="-"/>
    <s v="-"/>
    <s v="-"/>
    <n v="7008.0000000000009"/>
    <m/>
    <m/>
    <n v="1"/>
    <n v="0.97499999999999998"/>
    <n v="6832.8000000000011"/>
    <n v="3035"/>
    <n v="7439"/>
    <n v="7419"/>
    <n v="6604"/>
    <n v="4442"/>
    <n v="6845"/>
    <n v="1.0017855052101625"/>
    <m/>
    <m/>
    <s v="x"/>
    <m/>
    <m/>
    <m/>
    <m/>
    <s v="ㅇ"/>
    <s v="ㅇ"/>
  </r>
  <r>
    <n v="572"/>
    <x v="573"/>
    <n v="641"/>
    <x v="9"/>
    <n v="7"/>
    <x v="26"/>
    <x v="573"/>
    <s v="광진구 자양동 427-6"/>
    <s v="케이디파워㈜"/>
    <n v="22"/>
    <n v="72"/>
    <n v="3.2727272727272729"/>
    <n v="0.96030729833546746"/>
    <m/>
    <n v="0"/>
    <n v="0"/>
    <n v="15.417600000000002"/>
    <m/>
    <s v="-"/>
    <s v="-"/>
    <s v="-"/>
    <s v="-"/>
    <s v="-"/>
    <n v="25696.000000000004"/>
    <n v="90"/>
    <n v="40"/>
    <n v="0.66200000000000003"/>
    <n v="0.97499999999999998"/>
    <n v="16585.483200000002"/>
    <s v="-"/>
    <s v="-"/>
    <s v="-"/>
    <n v="19207"/>
    <n v="9679"/>
    <n v="18651"/>
    <n v="1.1245376318008027"/>
    <m/>
    <m/>
    <s v="x"/>
    <m/>
    <m/>
    <m/>
    <m/>
    <s v="ㅇ"/>
    <s v="ㅇ"/>
  </r>
  <r>
    <n v="576"/>
    <x v="574"/>
    <n v="603"/>
    <x v="9"/>
    <n v="9"/>
    <x v="26"/>
    <x v="574"/>
    <s v="성동구 강변북로 257"/>
    <s v="㈜케이디파워"/>
    <n v="30"/>
    <n v="92"/>
    <n v="3.0666666666666669"/>
    <n v="0.8998435054773084"/>
    <m/>
    <n v="0"/>
    <n v="0"/>
    <n v="21.024000000000001"/>
    <m/>
    <s v="-"/>
    <s v="-"/>
    <s v="-"/>
    <s v="-"/>
    <s v="-"/>
    <n v="35040"/>
    <m/>
    <m/>
    <n v="1"/>
    <n v="0.97499999999999998"/>
    <n v="34164"/>
    <n v="0"/>
    <n v="26045"/>
    <n v="27135"/>
    <n v="25092"/>
    <n v="13547"/>
    <n v="31265"/>
    <n v="0.91514459665144599"/>
    <m/>
    <m/>
    <s v="x"/>
    <m/>
    <m/>
    <m/>
    <m/>
    <s v="ㅇ"/>
    <s v="ㅇ"/>
  </r>
  <r>
    <n v="571"/>
    <x v="575"/>
    <n v="642"/>
    <x v="9"/>
    <n v="12"/>
    <x v="26"/>
    <x v="575"/>
    <s v="강동구 천호동 522-10"/>
    <s v="헥스파워시스템"/>
    <n v="3"/>
    <n v="25"/>
    <n v="8.3333333333333339"/>
    <n v="2.4452269170579033"/>
    <s v="BIPV"/>
    <n v="0"/>
    <n v="0"/>
    <n v="2.1024000000000003"/>
    <m/>
    <s v="-"/>
    <s v="-"/>
    <s v="-"/>
    <s v="-"/>
    <s v="-"/>
    <n v="3504.0000000000005"/>
    <n v="90"/>
    <n v="90"/>
    <n v="0.54500000000000004"/>
    <n v="0.97499999999999998"/>
    <n v="1861.9380000000003"/>
    <s v="-"/>
    <s v="-"/>
    <s v="-"/>
    <n v="6974"/>
    <n v="1304"/>
    <n v="2164"/>
    <n v="1.1622298916505274"/>
    <m/>
    <m/>
    <s v="x"/>
    <m/>
    <m/>
    <m/>
    <m/>
    <s v="ㅇ"/>
    <s v="ㅇ"/>
  </r>
  <r>
    <n v="577"/>
    <x v="576"/>
    <n v="576"/>
    <x v="9"/>
    <n v="12"/>
    <x v="79"/>
    <x v="576"/>
    <s v="서초구 남부순환로 340길 49"/>
    <s v="(주)이맥스시스템"/>
    <n v="71.5"/>
    <n v="225"/>
    <n v="3.1468531468531467"/>
    <n v="0.92337240224564165"/>
    <m/>
    <n v="0.43000000000000005"/>
    <n v="1.2027972027972029"/>
    <n v="49.677199999999999"/>
    <m/>
    <n v="0.2"/>
    <s v="-"/>
    <s v="-"/>
    <s v="-"/>
    <n v="0.23"/>
    <n v="83512"/>
    <n v="10"/>
    <n v="-40"/>
    <n v="0.92700000000000005"/>
    <n v="0.97499999999999998"/>
    <n v="75480.233399999997"/>
    <n v="1982"/>
    <n v="87396"/>
    <n v="88113"/>
    <n v="88509"/>
    <n v="52377"/>
    <n v="77326"/>
    <n v="1.0244536419252779"/>
    <m/>
    <m/>
    <s v="x"/>
    <m/>
    <m/>
    <m/>
    <m/>
    <s v="ㅇ"/>
    <s v="ㅇ"/>
  </r>
  <r>
    <n v="578"/>
    <x v="577"/>
    <n v="600"/>
    <x v="9"/>
    <n v="6"/>
    <x v="80"/>
    <x v="577"/>
    <s v="노원구 한글비석로 168"/>
    <s v="㈜텐코리아"/>
    <n v="50"/>
    <n v="203"/>
    <n v="4.0599999999999996"/>
    <n v="1.1913145539906103"/>
    <s v="구조물"/>
    <n v="0"/>
    <n v="0"/>
    <n v="35.04"/>
    <m/>
    <m/>
    <s v="-"/>
    <s v="-"/>
    <s v="-"/>
    <s v="-"/>
    <n v="58400"/>
    <m/>
    <m/>
    <n v="1"/>
    <n v="0.97499999999999998"/>
    <n v="56940"/>
    <n v="0"/>
    <n v="64905"/>
    <n v="64121"/>
    <n v="63780"/>
    <n v="39219"/>
    <n v="51669"/>
    <n v="0.9074288724973657"/>
    <m/>
    <m/>
    <s v="x"/>
    <m/>
    <m/>
    <m/>
    <m/>
    <s v="ㅇ"/>
    <s v="ㅇ"/>
  </r>
  <r>
    <n v="579"/>
    <x v="578"/>
    <n v="577"/>
    <x v="9"/>
    <n v="9"/>
    <x v="5"/>
    <x v="578"/>
    <s v="성동구 청계천로 540"/>
    <s v="㈜프라임에텍"/>
    <n v="19.84"/>
    <n v="60"/>
    <n v="3.024193548387097"/>
    <n v="0.88738073602907774"/>
    <m/>
    <n v="0.03"/>
    <n v="0.30241935483870969"/>
    <n v="13.873871999999999"/>
    <m/>
    <s v="-"/>
    <s v="-"/>
    <s v="-"/>
    <n v="0.03"/>
    <s v="-"/>
    <n v="23173.119999999999"/>
    <n v="30"/>
    <n v="21"/>
    <n v="0.99"/>
    <n v="0.97499999999999998"/>
    <n v="22367.854079999997"/>
    <n v="4414"/>
    <n v="21836"/>
    <n v="20604"/>
    <n v="21700"/>
    <n v="13099"/>
    <n v="21124"/>
    <n v="0.94439099631322354"/>
    <m/>
    <m/>
    <s v="x"/>
    <m/>
    <m/>
    <m/>
    <m/>
    <s v="ㅇ"/>
    <s v="ㅇ"/>
  </r>
  <r>
    <n v="580"/>
    <x v="579"/>
    <n v="578"/>
    <x v="9"/>
    <n v="10"/>
    <x v="5"/>
    <x v="579"/>
    <s v="강서구 마곡서1로 111-12"/>
    <s v="㈜대연씨앤아이/한솔(한국)"/>
    <n v="3"/>
    <n v="9"/>
    <n v="3"/>
    <n v="0.88028169014084512"/>
    <m/>
    <n v="0.03"/>
    <n v="2"/>
    <n v="2.0724000000000005"/>
    <m/>
    <s v="-"/>
    <s v="-"/>
    <s v="-"/>
    <n v="0.03"/>
    <s v="-"/>
    <n v="3504.0000000000005"/>
    <m/>
    <m/>
    <n v="1"/>
    <n v="0.97499999999999998"/>
    <n v="3416.4000000000005"/>
    <n v="615"/>
    <n v="3702"/>
    <n v="3619"/>
    <n v="3499"/>
    <n v="2213"/>
    <n v="3400"/>
    <n v="0.99519962533661144"/>
    <m/>
    <m/>
    <s v="x"/>
    <m/>
    <m/>
    <m/>
    <m/>
    <s v="ㅇ"/>
    <s v="ㅇ"/>
  </r>
  <r>
    <n v="581"/>
    <x v="580"/>
    <n v="561"/>
    <x v="9"/>
    <n v="9"/>
    <x v="6"/>
    <x v="580"/>
    <s v="구로구 천왕로21"/>
    <s v="중양산업건설㈜"/>
    <n v="40"/>
    <n v="123"/>
    <n v="3.0750000000000002"/>
    <n v="0.90228873239436624"/>
    <m/>
    <n v="0.1"/>
    <n v="0.5"/>
    <n v="27.931999999999999"/>
    <s v="수리비용"/>
    <s v="-"/>
    <s v="-"/>
    <n v="0.1"/>
    <s v="-"/>
    <s v="-"/>
    <n v="46720"/>
    <m/>
    <m/>
    <n v="1"/>
    <n v="0.97499999999999998"/>
    <n v="45552"/>
    <n v="0"/>
    <n v="58795"/>
    <n v="58795"/>
    <n v="58795"/>
    <n v="34297"/>
    <n v="47256"/>
    <n v="1.0374077976817704"/>
    <m/>
    <m/>
    <s v="ㅇ"/>
    <s v="인버터"/>
    <n v="0.1"/>
    <n v="1"/>
    <m/>
    <s v="ㅇ"/>
    <s v="ㅇ"/>
  </r>
  <r>
    <n v="583"/>
    <x v="581"/>
    <n v="646"/>
    <x v="9"/>
    <n v="11"/>
    <x v="81"/>
    <x v="581"/>
    <s v="마포구 백범로31길 21"/>
    <s v="㈜에스피브이"/>
    <n v="41"/>
    <n v="125"/>
    <n v="3.0487804878048781"/>
    <n v="0.89459521355776939"/>
    <m/>
    <n v="0"/>
    <n v="0"/>
    <n v="28.732800000000005"/>
    <m/>
    <s v="-"/>
    <s v="-"/>
    <s v="-"/>
    <s v="-"/>
    <s v="-"/>
    <n v="47888.000000000007"/>
    <n v="15"/>
    <n v="30"/>
    <n v="0.95299999999999996"/>
    <n v="0.97499999999999998"/>
    <n v="44496.332400000007"/>
    <s v=" - "/>
    <n v="53525"/>
    <n v="59373"/>
    <n v="56862"/>
    <n v="35643"/>
    <n v="55489"/>
    <n v="1.2470465992833151"/>
    <m/>
    <m/>
    <s v="x"/>
    <m/>
    <m/>
    <m/>
    <m/>
    <s v="ㅇ"/>
    <s v="ㅇ"/>
  </r>
  <r>
    <n v="584"/>
    <x v="582"/>
    <n v="623"/>
    <x v="9"/>
    <n v="4"/>
    <x v="33"/>
    <x v="582"/>
    <s v="종로구 통일로14길 36"/>
    <s v="에스피브이㈜"/>
    <n v="32.4"/>
    <n v="89"/>
    <n v="2.7469135802469138"/>
    <n v="0.80601924303019767"/>
    <m/>
    <n v="0"/>
    <n v="0"/>
    <n v="22.705920000000003"/>
    <m/>
    <s v="-"/>
    <s v="-"/>
    <s v="-"/>
    <s v="-"/>
    <s v="-"/>
    <n v="37843.200000000004"/>
    <m/>
    <m/>
    <n v="1"/>
    <n v="0.97499999999999998"/>
    <n v="36897.120000000003"/>
    <n v="26412"/>
    <n v="32839"/>
    <n v="38660"/>
    <n v="36247"/>
    <n v="19682"/>
    <n v="37925"/>
    <n v="1.0278580008412579"/>
    <m/>
    <m/>
    <s v="x"/>
    <m/>
    <m/>
    <m/>
    <m/>
    <s v="ㅇ"/>
    <s v="ㅇ"/>
  </r>
  <r>
    <n v="585"/>
    <x v="583"/>
    <n v="647"/>
    <x v="9"/>
    <n v="3"/>
    <x v="54"/>
    <x v="583"/>
    <s v="중구 만리재로35길 12"/>
    <s v="한양전공㈜"/>
    <n v="5"/>
    <n v="21"/>
    <n v="4.2"/>
    <n v="1.2323943661971832"/>
    <s v="구조물"/>
    <n v="0"/>
    <n v="0"/>
    <n v="3.504"/>
    <m/>
    <s v="-"/>
    <s v="-"/>
    <s v="-"/>
    <s v="-"/>
    <s v="-"/>
    <n v="5840"/>
    <m/>
    <m/>
    <n v="1"/>
    <n v="0.97499999999999998"/>
    <n v="5694"/>
    <n v="8203"/>
    <n v="5848"/>
    <n v="5834"/>
    <n v="8916"/>
    <s v="(누적)7,255"/>
    <n v="8750"/>
    <n v="1.5367053038285916"/>
    <m/>
    <m/>
    <s v="x"/>
    <m/>
    <m/>
    <m/>
    <m/>
    <s v="ㅇ"/>
    <s v="ㅇ"/>
  </r>
  <r>
    <n v="587"/>
    <x v="584"/>
    <n v="610"/>
    <x v="9"/>
    <n v="6"/>
    <x v="55"/>
    <x v="584"/>
    <s v="성동구 용답29길 22"/>
    <s v="㈜한국스카다"/>
    <n v="15.4"/>
    <n v="50"/>
    <n v="3.2467532467532467"/>
    <n v="0.95268581184074141"/>
    <m/>
    <n v="0"/>
    <n v="0"/>
    <n v="10.79232"/>
    <m/>
    <s v="-"/>
    <s v="-"/>
    <s v="-"/>
    <s v="-"/>
    <s v="-"/>
    <n v="17987.2"/>
    <m/>
    <m/>
    <n v="1"/>
    <n v="0.97499999999999998"/>
    <n v="17537.52"/>
    <n v="6519"/>
    <n v="15539"/>
    <n v="14091"/>
    <n v="15338"/>
    <n v="13006"/>
    <n v="16752"/>
    <n v="0.95520917438725661"/>
    <m/>
    <m/>
    <s v="x"/>
    <m/>
    <m/>
    <m/>
    <m/>
    <s v="ㅇ"/>
    <s v="ㅇ"/>
  </r>
  <r>
    <n v="588"/>
    <x v="585"/>
    <n v="605"/>
    <x v="9"/>
    <n v="6"/>
    <x v="55"/>
    <x v="585"/>
    <s v="성동구 무학로10길 28"/>
    <s v="㈜한국스카다"/>
    <n v="15.4"/>
    <n v="50"/>
    <n v="3.2467532467532467"/>
    <n v="0.95268581184074141"/>
    <m/>
    <n v="0"/>
    <n v="0"/>
    <n v="10.79232"/>
    <m/>
    <s v="-"/>
    <s v="-"/>
    <s v="-"/>
    <s v="-"/>
    <s v="-"/>
    <n v="17987.2"/>
    <m/>
    <m/>
    <n v="1"/>
    <n v="0.97499999999999998"/>
    <n v="17537.52"/>
    <n v="6450"/>
    <n v="15352"/>
    <n v="14114"/>
    <n v="17781"/>
    <n v="9494"/>
    <n v="16118"/>
    <n v="0.91905811083893274"/>
    <m/>
    <m/>
    <s v="x"/>
    <m/>
    <m/>
    <m/>
    <m/>
    <s v="ㅇ"/>
    <s v="ㅇ"/>
  </r>
  <r>
    <n v="586"/>
    <x v="586"/>
    <n v="599"/>
    <x v="9"/>
    <n v="12"/>
    <x v="55"/>
    <x v="586"/>
    <s v="성동구 사근동길 37 (사근동)"/>
    <s v="㈜에너솔라"/>
    <n v="46.2"/>
    <n v="184"/>
    <n v="3.9826839826839824"/>
    <n v="1.1686279291913093"/>
    <s v="구조물"/>
    <n v="0"/>
    <n v="0"/>
    <n v="32.376959999999997"/>
    <m/>
    <s v="-"/>
    <s v="-"/>
    <s v="-"/>
    <s v="-"/>
    <s v="-"/>
    <n v="53961.599999999999"/>
    <m/>
    <m/>
    <n v="1"/>
    <n v="0.97499999999999998"/>
    <n v="52612.56"/>
    <n v="0"/>
    <n v="50221"/>
    <n v="54149"/>
    <n v="49500"/>
    <n v="30182"/>
    <n v="47706"/>
    <n v="0.90674166016631774"/>
    <m/>
    <m/>
    <s v="x"/>
    <m/>
    <m/>
    <m/>
    <m/>
    <s v="ㅇ"/>
    <s v="ㅇ"/>
  </r>
  <r>
    <n v="589"/>
    <x v="587"/>
    <n v="595"/>
    <x v="9"/>
    <n v="12"/>
    <x v="13"/>
    <x v="587"/>
    <s v="광진구 광나루로 389"/>
    <s v="이엔에이치㈜"/>
    <n v="8"/>
    <n v="48"/>
    <n v="6"/>
    <n v="1.7605633802816902"/>
    <s v="구조물"/>
    <n v="0"/>
    <n v="0"/>
    <n v="5.6063999999999998"/>
    <m/>
    <s v="-"/>
    <s v="-"/>
    <s v="-"/>
    <s v="-"/>
    <s v="-"/>
    <n v="9344"/>
    <m/>
    <m/>
    <n v="1"/>
    <n v="0.97499999999999998"/>
    <n v="9110.4"/>
    <n v="160"/>
    <n v="9773"/>
    <n v="9380"/>
    <n v="9576"/>
    <n v="3827"/>
    <n v="7959"/>
    <n v="0.8736169652265543"/>
    <m/>
    <m/>
    <s v="x"/>
    <m/>
    <m/>
    <m/>
    <m/>
    <s v="ㅇ"/>
    <s v="ㅇ"/>
  </r>
  <r>
    <n v="590"/>
    <x v="588"/>
    <n v="583"/>
    <x v="9"/>
    <n v="2"/>
    <x v="35"/>
    <x v="588"/>
    <s v="동대문구 청계천로 521 (용두동 255-69)"/>
    <s v="㈜에너솔라"/>
    <n v="35.36"/>
    <n v="273"/>
    <n v="7.7205882352941178"/>
    <n v="2.2654308202154101"/>
    <s v="BIPV"/>
    <n v="0"/>
    <n v="0"/>
    <n v="24.780288000000002"/>
    <m/>
    <s v="-"/>
    <s v="-"/>
    <s v="-"/>
    <s v="-"/>
    <s v="-"/>
    <n v="41300.480000000003"/>
    <n v="90"/>
    <n v="-39"/>
    <n v="0.66100000000000003"/>
    <n v="0.97499999999999998"/>
    <n v="26617.126848000004"/>
    <n v="29800"/>
    <n v="24800"/>
    <n v="21292"/>
    <n v="23077"/>
    <n v="16533"/>
    <n v="19044"/>
    <n v="0.7154791765750238"/>
    <s v="BIPV"/>
    <s v="BIPV"/>
    <s v="x"/>
    <m/>
    <m/>
    <m/>
    <m/>
    <s v="ㅇ"/>
    <s v="ㅇ"/>
  </r>
  <r>
    <n v="591"/>
    <x v="589"/>
    <n v="580"/>
    <x v="9"/>
    <n v="2"/>
    <x v="35"/>
    <x v="589"/>
    <s v="동대문구 한천로17길 7 (답십리동 2-283)"/>
    <s v="㈜한국스카다"/>
    <n v="15"/>
    <n v="58"/>
    <n v="3.8666666666666667"/>
    <n v="1.1345852895148669"/>
    <m/>
    <n v="0"/>
    <n v="0"/>
    <n v="10.512"/>
    <m/>
    <s v="-"/>
    <s v="-"/>
    <s v="-"/>
    <s v="-"/>
    <s v="-"/>
    <n v="17520"/>
    <n v="6"/>
    <n v="-55"/>
    <n v="0.89900000000000002"/>
    <n v="0.97499999999999998"/>
    <n v="15356.718000000001"/>
    <n v="9180"/>
    <n v="10244"/>
    <n v="10123"/>
    <n v="8414"/>
    <n v="5692"/>
    <n v="8174"/>
    <n v="0.53227519057131867"/>
    <s v="주변환경 변화에 따른 음영"/>
    <s v="수목 음영"/>
    <s v="x"/>
    <m/>
    <m/>
    <m/>
    <m/>
    <s v="ㅇ"/>
    <s v="ㅇ"/>
  </r>
  <r>
    <n v="592"/>
    <x v="590"/>
    <n v="637"/>
    <x v="9"/>
    <n v="6"/>
    <x v="37"/>
    <x v="590"/>
    <s v="강북구 삼각산로 89"/>
    <s v="(주)코텍에너지"/>
    <n v="9"/>
    <n v="28"/>
    <n v="3.1111111111111112"/>
    <n v="0.91288471570161711"/>
    <m/>
    <n v="0"/>
    <n v="0"/>
    <n v="6.3071999999999999"/>
    <m/>
    <s v="-"/>
    <s v="-"/>
    <s v="-"/>
    <s v="-"/>
    <s v="-"/>
    <n v="10512"/>
    <m/>
    <m/>
    <n v="1"/>
    <n v="0.97499999999999998"/>
    <n v="10249.199999999999"/>
    <n v="0"/>
    <n v="16564.2"/>
    <n v="12494"/>
    <n v="11983"/>
    <n v="6221"/>
    <n v="11365"/>
    <n v="1.1088670335245678"/>
    <m/>
    <m/>
    <s v="x"/>
    <m/>
    <m/>
    <m/>
    <m/>
    <s v="ㅇ"/>
    <s v="ㅇ"/>
  </r>
  <r>
    <n v="594"/>
    <x v="591"/>
    <n v="566"/>
    <x v="9"/>
    <n v="6"/>
    <x v="37"/>
    <x v="591"/>
    <s v="강북구 도봉로61길 46"/>
    <s v="유니테스트"/>
    <n v="45"/>
    <n v="140"/>
    <n v="3.1111111111111112"/>
    <n v="0.91288471570161711"/>
    <m/>
    <n v="0.8"/>
    <n v="3.5555555555555558"/>
    <n v="30.736000000000001"/>
    <s v="수리비용"/>
    <s v="-"/>
    <s v="-"/>
    <n v="0.8"/>
    <s v="-"/>
    <s v="-"/>
    <n v="52560"/>
    <m/>
    <m/>
    <n v="1"/>
    <n v="0.97499999999999998"/>
    <n v="51246"/>
    <n v="12587"/>
    <n v="40736"/>
    <n v="48659"/>
    <n v="37518"/>
    <n v="21945"/>
    <n v="44500"/>
    <n v="0.86836045740155332"/>
    <m/>
    <m/>
    <s v="ㅇ"/>
    <s v="인버터"/>
    <n v="0.8"/>
    <n v="1"/>
    <m/>
    <s v="ㅇ"/>
    <s v="ㅇ"/>
  </r>
  <r>
    <n v="595"/>
    <x v="592"/>
    <n v="635"/>
    <x v="9"/>
    <n v="6"/>
    <x v="37"/>
    <x v="592"/>
    <s v="강북구 삼양로47길 9"/>
    <s v="(주)코텍에너지"/>
    <n v="12"/>
    <n v="37"/>
    <n v="3.0833333333333335"/>
    <n v="0.9047339593114242"/>
    <m/>
    <n v="0"/>
    <n v="0"/>
    <n v="8.4096000000000011"/>
    <m/>
    <s v="-"/>
    <s v="-"/>
    <s v="-"/>
    <s v="-"/>
    <s v="-"/>
    <n v="14016.000000000002"/>
    <m/>
    <m/>
    <n v="1"/>
    <n v="0.97499999999999998"/>
    <n v="13665.600000000002"/>
    <n v="6834.8"/>
    <n v="16325.4"/>
    <n v="16416"/>
    <n v="16540"/>
    <n v="9628"/>
    <n v="15090"/>
    <n v="1.104232525465402"/>
    <m/>
    <m/>
    <s v="x"/>
    <m/>
    <m/>
    <m/>
    <m/>
    <s v="ㅇ"/>
    <s v="ㅇ"/>
  </r>
  <r>
    <n v="596"/>
    <x v="593"/>
    <n v="624"/>
    <x v="9"/>
    <n v="6"/>
    <x v="37"/>
    <x v="593"/>
    <s v="강북구 오패산로 156-3"/>
    <s v="(주)코텍에너지"/>
    <n v="3"/>
    <n v="9"/>
    <n v="3"/>
    <n v="0.88028169014084512"/>
    <m/>
    <n v="0"/>
    <n v="0"/>
    <n v="2.1024000000000003"/>
    <m/>
    <s v="-"/>
    <s v="-"/>
    <s v="-"/>
    <s v="-"/>
    <s v="-"/>
    <n v="3504.0000000000005"/>
    <m/>
    <m/>
    <n v="1"/>
    <n v="0.97499999999999998"/>
    <n v="3416.4000000000005"/>
    <n v="0"/>
    <n v="0"/>
    <s v="-"/>
    <n v="2502"/>
    <n v="2227"/>
    <n v="3528"/>
    <n v="1.0326659641728133"/>
    <m/>
    <m/>
    <s v="x"/>
    <m/>
    <m/>
    <m/>
    <m/>
    <s v="ㅇ"/>
    <s v="ㅇ"/>
  </r>
  <r>
    <n v="593"/>
    <x v="594"/>
    <n v="584"/>
    <x v="9"/>
    <n v="11"/>
    <x v="37"/>
    <x v="594"/>
    <s v="강북구 삼양로 230-12"/>
    <s v="유니테스트"/>
    <n v="26"/>
    <n v="88"/>
    <n v="3.3846153846153846"/>
    <n v="0.99313831708197908"/>
    <m/>
    <n v="0"/>
    <n v="0"/>
    <n v="18.220800000000001"/>
    <m/>
    <s v="-"/>
    <s v="-"/>
    <s v="-"/>
    <s v="-"/>
    <s v="-"/>
    <n v="30368"/>
    <m/>
    <m/>
    <n v="1"/>
    <n v="0.97499999999999998"/>
    <n v="29608.799999999999"/>
    <n v="4000"/>
    <n v="24530"/>
    <n v="24051"/>
    <n v="27108"/>
    <n v="13294"/>
    <n v="21311"/>
    <n v="0.71975223582178272"/>
    <s v="주변환경 변화에 따른 음영"/>
    <s v="주변건물 영향으로 음영발생"/>
    <s v="x"/>
    <m/>
    <m/>
    <m/>
    <m/>
    <s v="ㅇ"/>
    <s v="ㅇ"/>
  </r>
  <r>
    <n v="606"/>
    <x v="595"/>
    <n v="636"/>
    <x v="9"/>
    <n v="8"/>
    <x v="14"/>
    <x v="595"/>
    <s v="도봉구 마들로 849"/>
    <s v="에스피브이㈜"/>
    <n v="19.2"/>
    <n v="50"/>
    <n v="2.604166666666667"/>
    <n v="0.76413341158059478"/>
    <m/>
    <n v="0"/>
    <n v="0"/>
    <n v="13.455360000000001"/>
    <m/>
    <s v="-"/>
    <s v="-"/>
    <s v="-"/>
    <s v="-"/>
    <s v="-"/>
    <n v="22425.599999999999"/>
    <m/>
    <m/>
    <n v="1"/>
    <n v="0.97499999999999998"/>
    <n v="21864.959999999999"/>
    <n v="7044"/>
    <n v="23312"/>
    <n v="24290"/>
    <n v="19176"/>
    <n v="12982"/>
    <n v="24192"/>
    <n v="1.1064278187565859"/>
    <m/>
    <m/>
    <s v="x"/>
    <m/>
    <m/>
    <m/>
    <m/>
    <s v="x"/>
    <s v="x"/>
  </r>
  <r>
    <n v="598"/>
    <x v="596"/>
    <n v="594"/>
    <x v="9"/>
    <n v="8"/>
    <x v="14"/>
    <x v="596"/>
    <s v="도봉구 173길 40-5"/>
    <s v="에스피브이"/>
    <n v="3.2"/>
    <n v="10"/>
    <n v="3.125"/>
    <n v="0.91696009389671362"/>
    <m/>
    <n v="0"/>
    <n v="0"/>
    <n v="2.2425600000000006"/>
    <m/>
    <s v="-"/>
    <s v="-"/>
    <s v="-"/>
    <s v="-"/>
    <s v="-"/>
    <n v="3737.6000000000008"/>
    <m/>
    <m/>
    <n v="1"/>
    <n v="0.97499999999999998"/>
    <n v="3644.1600000000008"/>
    <n v="2152"/>
    <n v="4317"/>
    <n v="3530"/>
    <n v="3427"/>
    <n v="2120"/>
    <n v="3120"/>
    <n v="0.8561643835616437"/>
    <m/>
    <s v="코로나19영향으로 인한 사람들의 활동저하로 전력부하 사용이 줄어 발전량 하락"/>
    <s v="x"/>
    <m/>
    <m/>
    <m/>
    <m/>
    <s v="ㅇ"/>
    <s v="ㅇ"/>
  </r>
  <r>
    <n v="599"/>
    <x v="597"/>
    <n v="628"/>
    <x v="9"/>
    <n v="8"/>
    <x v="14"/>
    <x v="597"/>
    <s v="도봉구 시루봉로 17길 64"/>
    <s v="에스피브이"/>
    <n v="2.8"/>
    <n v="10"/>
    <n v="3.5714285714285716"/>
    <n v="1.0479543930248156"/>
    <m/>
    <n v="0"/>
    <n v="0"/>
    <n v="1.9622399999999998"/>
    <m/>
    <s v="-"/>
    <s v="-"/>
    <s v="-"/>
    <s v="-"/>
    <s v="-"/>
    <n v="3270.3999999999996"/>
    <m/>
    <m/>
    <n v="1"/>
    <n v="0.97499999999999998"/>
    <n v="3188.6399999999994"/>
    <n v="2044"/>
    <n v="3277"/>
    <n v="4182"/>
    <n v="3924"/>
    <n v="2401"/>
    <n v="3384"/>
    <n v="1.0612674996236642"/>
    <m/>
    <s v="코로나19영향으로 인한 사람들의 활동저하로 전력부하 사용이 줄어 발전량 하락"/>
    <s v="x"/>
    <m/>
    <m/>
    <m/>
    <m/>
    <s v="ㅇ"/>
    <s v="ㅇ"/>
  </r>
  <r>
    <n v="600"/>
    <x v="598"/>
    <n v="630"/>
    <x v="9"/>
    <n v="8"/>
    <x v="14"/>
    <x v="598"/>
    <s v="도봉구 시루봉로 94"/>
    <s v="에스피브이"/>
    <n v="18.899999999999999"/>
    <n v="63"/>
    <n v="3.3333333333333335"/>
    <n v="0.97809076682316121"/>
    <m/>
    <n v="0"/>
    <n v="0"/>
    <n v="13.245119999999998"/>
    <m/>
    <s v="-"/>
    <s v="-"/>
    <s v="-"/>
    <s v="-"/>
    <s v="-"/>
    <n v="22075.199999999997"/>
    <m/>
    <m/>
    <n v="1"/>
    <n v="0.97499999999999998"/>
    <n v="21523.319999999996"/>
    <n v="10907"/>
    <n v="25890"/>
    <n v="26100"/>
    <n v="25947"/>
    <n v="16334"/>
    <n v="23212"/>
    <n v="1.078458156083727"/>
    <m/>
    <m/>
    <s v="x"/>
    <m/>
    <m/>
    <m/>
    <m/>
    <s v="ㅇ"/>
    <s v="ㅇ"/>
  </r>
  <r>
    <n v="601"/>
    <x v="599"/>
    <n v="604"/>
    <x v="9"/>
    <n v="8"/>
    <x v="14"/>
    <x v="599"/>
    <s v="도봉구 노해로 57길 62"/>
    <s v="에스피브이"/>
    <n v="2.8"/>
    <n v="10"/>
    <n v="3.5714285714285716"/>
    <n v="1.0479543930248156"/>
    <m/>
    <n v="0"/>
    <n v="0"/>
    <n v="1.9622399999999998"/>
    <m/>
    <s v="-"/>
    <s v="-"/>
    <s v="-"/>
    <s v="-"/>
    <s v="-"/>
    <n v="3270.3999999999996"/>
    <m/>
    <m/>
    <n v="1"/>
    <n v="0.97499999999999998"/>
    <n v="3188.6399999999994"/>
    <n v="1564"/>
    <n v="3255"/>
    <n v="3280"/>
    <n v="3288"/>
    <n v="2060"/>
    <n v="2930"/>
    <n v="0.91888704902403551"/>
    <m/>
    <m/>
    <s v="x"/>
    <m/>
    <m/>
    <m/>
    <m/>
    <s v="ㅇ"/>
    <s v="ㅇ"/>
  </r>
  <r>
    <n v="602"/>
    <x v="600"/>
    <n v="619"/>
    <x v="9"/>
    <n v="8"/>
    <x v="14"/>
    <x v="600"/>
    <s v="도봉구 노해로 149-5"/>
    <s v="㈜에스피브이"/>
    <n v="3.15"/>
    <n v="10"/>
    <n v="3.1746031746031749"/>
    <n v="0.93151501602205833"/>
    <m/>
    <n v="0"/>
    <n v="0"/>
    <n v="2.2075200000000001"/>
    <m/>
    <s v="-"/>
    <s v="-"/>
    <s v="-"/>
    <s v="-"/>
    <s v="-"/>
    <n v="3679.2"/>
    <m/>
    <m/>
    <n v="1"/>
    <n v="0.97499999999999998"/>
    <n v="3587.22"/>
    <n v="2132"/>
    <n v="4248"/>
    <n v="4303"/>
    <n v="4081"/>
    <n v="2520"/>
    <n v="3587"/>
    <n v="0.99993867117154789"/>
    <m/>
    <m/>
    <s v="x"/>
    <m/>
    <m/>
    <m/>
    <m/>
    <s v="ㅇ"/>
    <s v="ㅇ"/>
  </r>
  <r>
    <n v="603"/>
    <x v="601"/>
    <n v="614"/>
    <x v="9"/>
    <n v="8"/>
    <x v="14"/>
    <x v="601"/>
    <s v="도봉구 해등로 32가길 16"/>
    <s v="에스피브이"/>
    <n v="5"/>
    <n v="17"/>
    <n v="3.4"/>
    <n v="0.99765258215962438"/>
    <m/>
    <n v="0"/>
    <n v="0"/>
    <n v="3.504"/>
    <m/>
    <s v="-"/>
    <s v="-"/>
    <s v="-"/>
    <s v="-"/>
    <s v="-"/>
    <n v="5840"/>
    <m/>
    <m/>
    <n v="1"/>
    <n v="0.97499999999999998"/>
    <n v="5694"/>
    <n v="2389"/>
    <n v="6983"/>
    <n v="6299"/>
    <n v="6381"/>
    <n v="4004"/>
    <n v="5574"/>
    <n v="0.97892518440463649"/>
    <m/>
    <m/>
    <s v="x"/>
    <m/>
    <m/>
    <m/>
    <m/>
    <s v="ㅇ"/>
    <s v="ㅇ"/>
  </r>
  <r>
    <n v="604"/>
    <x v="602"/>
    <n v="564"/>
    <x v="9"/>
    <n v="8"/>
    <x v="14"/>
    <x v="602"/>
    <s v="도봉구 덕릉로 62길 57-7"/>
    <s v="에스피브이"/>
    <n v="11.34"/>
    <n v="42"/>
    <n v="3.7037037037037037"/>
    <n v="1.0867675186924013"/>
    <m/>
    <n v="0.71499999999999997"/>
    <n v="12.610229276895943"/>
    <n v="7.2320720000000014"/>
    <s v="수리비용"/>
    <s v="-"/>
    <s v="-"/>
    <s v="-"/>
    <s v="-"/>
    <n v="0.71499999999999997"/>
    <n v="13245.12"/>
    <m/>
    <m/>
    <n v="1"/>
    <n v="0.97499999999999998"/>
    <n v="12913.992"/>
    <n v="5486"/>
    <n v="14116"/>
    <n v="14126"/>
    <n v="13945"/>
    <n v="8764"/>
    <n v="12378"/>
    <n v="0.95849525073269359"/>
    <m/>
    <m/>
    <s v="ㅇ"/>
    <s v="모듈"/>
    <n v="0.71499999999999997"/>
    <n v="1"/>
    <m/>
    <s v="ㅇ"/>
    <s v="ㅇ"/>
  </r>
  <r>
    <n v="605"/>
    <x v="603"/>
    <n v="607"/>
    <x v="9"/>
    <n v="8"/>
    <x v="14"/>
    <x v="603"/>
    <s v="도봉구 116길 41"/>
    <s v="에스피브이"/>
    <n v="10.1"/>
    <n v="35"/>
    <n v="3.4653465346534653"/>
    <n v="1.0168270348161577"/>
    <m/>
    <n v="0"/>
    <n v="0"/>
    <n v="7.0780799999999999"/>
    <m/>
    <s v="-"/>
    <s v="-"/>
    <s v="-"/>
    <s v="-"/>
    <s v="-"/>
    <n v="11796.8"/>
    <m/>
    <m/>
    <n v="1"/>
    <n v="0.97499999999999998"/>
    <n v="11501.88"/>
    <n v="5412"/>
    <n v="11331"/>
    <n v="12019"/>
    <n v="11987"/>
    <n v="7549"/>
    <n v="10734"/>
    <n v="0.93323874010161822"/>
    <m/>
    <m/>
    <s v="x"/>
    <m/>
    <m/>
    <m/>
    <m/>
    <s v="ㅇ"/>
    <s v="ㅇ"/>
  </r>
  <r>
    <n v="597"/>
    <x v="604"/>
    <n v="639"/>
    <x v="9"/>
    <n v="12"/>
    <x v="14"/>
    <x v="604"/>
    <s v="도봉구 덕릉로59길 73-3"/>
    <s v="㈜에스피브이"/>
    <n v="15.4"/>
    <n v="48"/>
    <n v="3.116883116883117"/>
    <n v="0.91457837936711184"/>
    <m/>
    <n v="0"/>
    <n v="0"/>
    <n v="10.79232"/>
    <m/>
    <s v="-"/>
    <s v="-"/>
    <s v="-"/>
    <s v="-"/>
    <s v="-"/>
    <n v="17987.2"/>
    <m/>
    <m/>
    <n v="1"/>
    <n v="0.97499999999999998"/>
    <n v="17537.52"/>
    <n v="314"/>
    <n v="19774"/>
    <n v="19894"/>
    <n v="19639"/>
    <n v="12363"/>
    <n v="19639"/>
    <n v="1.1198276609235513"/>
    <m/>
    <m/>
    <s v="x"/>
    <m/>
    <m/>
    <m/>
    <m/>
    <s v="x"/>
    <s v="x"/>
  </r>
  <r>
    <n v="612"/>
    <x v="605"/>
    <n v="638"/>
    <x v="9"/>
    <n v="3"/>
    <x v="38"/>
    <x v="605"/>
    <s v="노원구 수락산로 131"/>
    <s v="이앤에이치㈜"/>
    <n v="5"/>
    <n v="20"/>
    <n v="4"/>
    <n v="1.1737089201877935"/>
    <s v="구조물"/>
    <n v="0"/>
    <n v="0"/>
    <n v="3.504"/>
    <m/>
    <s v="-"/>
    <s v="-"/>
    <s v="-"/>
    <s v="-"/>
    <s v="-"/>
    <n v="5840"/>
    <m/>
    <m/>
    <n v="1"/>
    <n v="0.97499999999999998"/>
    <n v="5694"/>
    <s v="-"/>
    <s v="-"/>
    <s v="-"/>
    <n v="6508"/>
    <n v="3662"/>
    <n v="6326"/>
    <n v="1.110994028802248"/>
    <m/>
    <m/>
    <s v="x"/>
    <m/>
    <m/>
    <m/>
    <m/>
    <s v="ㅇ"/>
    <s v="ㅇ"/>
  </r>
  <r>
    <n v="611"/>
    <x v="606"/>
    <n v="625"/>
    <x v="9"/>
    <n v="5"/>
    <x v="38"/>
    <x v="606"/>
    <s v="노원구 중계로 14길 53"/>
    <s v="이앤에이치㈜"/>
    <n v="3"/>
    <n v="12"/>
    <n v="4"/>
    <n v="1.1737089201877935"/>
    <s v="구조물"/>
    <n v="0"/>
    <n v="0"/>
    <n v="2.1024000000000003"/>
    <m/>
    <s v="-"/>
    <s v="-"/>
    <s v="-"/>
    <s v="-"/>
    <s v="-"/>
    <n v="3504.0000000000005"/>
    <m/>
    <m/>
    <n v="1"/>
    <n v="0.97499999999999998"/>
    <n v="3416.4000000000005"/>
    <s v="-"/>
    <s v="-"/>
    <s v="-"/>
    <n v="3626"/>
    <n v="2087"/>
    <n v="3558"/>
    <n v="1.0414471373375482"/>
    <m/>
    <m/>
    <s v="x"/>
    <m/>
    <m/>
    <m/>
    <m/>
    <s v="ㅇ"/>
    <s v="ㅇ"/>
  </r>
  <r>
    <n v="609"/>
    <x v="607"/>
    <n v="563"/>
    <x v="9"/>
    <n v="6"/>
    <x v="38"/>
    <x v="607"/>
    <s v="노원구 덕릉로 126 나길 14"/>
    <s v="-"/>
    <n v="3"/>
    <n v="6"/>
    <n v="2"/>
    <n v="0.58685446009389675"/>
    <m/>
    <n v="0.66"/>
    <n v="44"/>
    <n v="1.4424000000000001"/>
    <s v="수리비용"/>
    <s v="-"/>
    <s v="-"/>
    <s v="-"/>
    <s v="-"/>
    <n v="0.66"/>
    <n v="3504.0000000000005"/>
    <m/>
    <m/>
    <n v="1"/>
    <n v="0.97499999999999998"/>
    <n v="3416.4000000000005"/>
    <s v="-"/>
    <s v="-"/>
    <s v="-"/>
    <n v="3744"/>
    <n v="2151"/>
    <n v="3687"/>
    <n v="1.0792061819459078"/>
    <m/>
    <m/>
    <s v="ㅇ"/>
    <s v="인버터"/>
    <n v="0.66"/>
    <n v="1"/>
    <m/>
    <s v="ㅇ"/>
    <s v="ㅇ"/>
  </r>
  <r>
    <n v="607"/>
    <x v="608"/>
    <n v="627"/>
    <x v="9"/>
    <n v="7"/>
    <x v="38"/>
    <x v="608"/>
    <s v="노원구 동일로179길22"/>
    <s v="-"/>
    <n v="3"/>
    <n v="9"/>
    <n v="3"/>
    <n v="0.88028169014084512"/>
    <m/>
    <n v="0"/>
    <n v="0"/>
    <n v="2.1024000000000003"/>
    <m/>
    <s v="-"/>
    <s v="-"/>
    <s v="-"/>
    <s v="-"/>
    <s v="-"/>
    <n v="3504.0000000000005"/>
    <m/>
    <m/>
    <n v="1"/>
    <n v="0.97499999999999998"/>
    <n v="3416.4000000000005"/>
    <s v="-"/>
    <s v="-"/>
    <s v="-"/>
    <n v="3624"/>
    <n v="1995"/>
    <n v="3584"/>
    <n v="1.0490574874136516"/>
    <m/>
    <m/>
    <s v="x"/>
    <m/>
    <m/>
    <m/>
    <m/>
    <s v="ㅇ"/>
    <s v="ㅇ"/>
  </r>
  <r>
    <n v="608"/>
    <x v="609"/>
    <n v="565"/>
    <x v="9"/>
    <n v="10"/>
    <x v="38"/>
    <x v="609"/>
    <s v="노원구 노원로30길 73"/>
    <s v="㈜에너솔라"/>
    <n v="16.8"/>
    <n v="65"/>
    <n v="3.8690476190476191"/>
    <n v="1.1352839257768836"/>
    <s v="구조물"/>
    <n v="0.77"/>
    <n v="9.1666666666666661"/>
    <n v="11.003440000000001"/>
    <s v="수리비용"/>
    <s v="-"/>
    <s v="-"/>
    <s v="-"/>
    <n v="0.77"/>
    <s v="-"/>
    <n v="19622.400000000001"/>
    <m/>
    <m/>
    <n v="1"/>
    <n v="0.97499999999999998"/>
    <n v="19131.84"/>
    <s v="-"/>
    <s v="-"/>
    <s v="-"/>
    <n v="20976"/>
    <n v="12016"/>
    <n v="19443"/>
    <n v="1.0162639871543981"/>
    <m/>
    <m/>
    <s v="ㅇ"/>
    <s v="인버터"/>
    <n v="0.77"/>
    <n v="1"/>
    <m/>
    <s v="ㅇ"/>
    <s v="ㅇ"/>
  </r>
  <r>
    <n v="610"/>
    <x v="610"/>
    <n v="645"/>
    <x v="9"/>
    <n v="12"/>
    <x v="38"/>
    <x v="610"/>
    <s v="노원구 한글비석로39길 16-5"/>
    <s v="LG전자"/>
    <n v="5"/>
    <n v="18"/>
    <n v="3.6"/>
    <n v="1.0563380281690142"/>
    <m/>
    <n v="0"/>
    <n v="0"/>
    <n v="3.504"/>
    <m/>
    <s v="-"/>
    <s v="-"/>
    <s v="-"/>
    <s v="-"/>
    <s v="-"/>
    <n v="5840"/>
    <m/>
    <m/>
    <n v="1"/>
    <n v="0.97499999999999998"/>
    <n v="5694"/>
    <n v="136"/>
    <n v="6891"/>
    <n v="6830"/>
    <n v="6938"/>
    <n v="4003"/>
    <n v="6806"/>
    <n v="1.1952932911837022"/>
    <m/>
    <m/>
    <s v="x"/>
    <m/>
    <m/>
    <m/>
    <m/>
    <s v="ㅇ"/>
    <s v="ㅇ"/>
  </r>
  <r>
    <n v="613"/>
    <x v="611"/>
    <n v="560"/>
    <x v="9"/>
    <n v="4"/>
    <x v="39"/>
    <x v="611"/>
    <s v="은평구 통일로 578-27"/>
    <s v="(주)코텍에너지"/>
    <n v="3"/>
    <n v="9"/>
    <n v="3"/>
    <n v="0.88028169014084512"/>
    <m/>
    <n v="0"/>
    <n v="0"/>
    <n v="2.1024000000000003"/>
    <m/>
    <s v="-"/>
    <s v="-"/>
    <s v="-"/>
    <s v="-"/>
    <s v="-"/>
    <n v="3504.0000000000005"/>
    <n v="1"/>
    <n v="0"/>
    <n v="0.88400000000000001"/>
    <n v="0.97499999999999998"/>
    <n v="3020.0976000000005"/>
    <n v="1956"/>
    <n v="3040"/>
    <n v="3535"/>
    <n v="3414"/>
    <s v="(누적)13681"/>
    <n v="3544"/>
    <n v="1.1734720096463105"/>
    <m/>
    <m/>
    <s v="ㅇ"/>
    <s v="인버터"/>
    <n v="1"/>
    <n v="1"/>
    <m/>
    <s v="ㅇ"/>
    <s v="ㅇ"/>
  </r>
  <r>
    <n v="615"/>
    <x v="612"/>
    <n v="626"/>
    <x v="9"/>
    <n v="4"/>
    <x v="39"/>
    <x v="612"/>
    <s v="은평구 백련산로 179"/>
    <s v="㈜에코스"/>
    <n v="20"/>
    <n v="81"/>
    <n v="4.05"/>
    <n v="1.1883802816901408"/>
    <s v="구조물"/>
    <n v="0"/>
    <n v="0"/>
    <n v="14.016"/>
    <m/>
    <s v="-"/>
    <s v="-"/>
    <s v="-"/>
    <s v="-"/>
    <s v="-"/>
    <n v="23360"/>
    <n v="8"/>
    <n v="0"/>
    <n v="0.94199999999999995"/>
    <n v="0.97499999999999998"/>
    <n v="21454.991999999998"/>
    <n v="18043"/>
    <n v="21360"/>
    <n v="23465"/>
    <n v="26900"/>
    <n v="14251"/>
    <n v="22456"/>
    <n v="1.0466561814611723"/>
    <m/>
    <m/>
    <s v="x"/>
    <m/>
    <m/>
    <m/>
    <m/>
    <s v="ㅇ"/>
    <s v="ㅇ"/>
  </r>
  <r>
    <n v="616"/>
    <x v="613"/>
    <n v="581"/>
    <x v="9"/>
    <n v="4"/>
    <x v="39"/>
    <x v="613"/>
    <s v="은평구 백련산로 100"/>
    <s v="㈜에코스"/>
    <n v="10"/>
    <n v="27"/>
    <n v="2.7"/>
    <n v="0.79225352112676062"/>
    <m/>
    <n v="0"/>
    <n v="0"/>
    <n v="7.008"/>
    <m/>
    <s v="-"/>
    <s v="-"/>
    <s v="-"/>
    <s v="-"/>
    <s v="-"/>
    <n v="11680"/>
    <n v="19"/>
    <n v="0"/>
    <n v="0.98099999999999998"/>
    <n v="0.97499999999999998"/>
    <n v="11171.627999999999"/>
    <n v="5650"/>
    <n v="11358"/>
    <n v="11724"/>
    <n v="11683"/>
    <s v="(누적)46631"/>
    <n v="6117"/>
    <n v="0.54754777011909106"/>
    <s v="주변환경 변화에 따른 음영"/>
    <s v="재개발아파트 건축으로 음영 발생"/>
    <s v="x"/>
    <m/>
    <m/>
    <m/>
    <m/>
    <s v="ㅇ"/>
    <s v="ㅇ"/>
  </r>
  <r>
    <n v="617"/>
    <x v="614"/>
    <n v="631"/>
    <x v="9"/>
    <n v="9"/>
    <x v="39"/>
    <x v="614"/>
    <s v="은평구 통일로 579-20"/>
    <s v="케이디파워㈜"/>
    <n v="3"/>
    <n v="14"/>
    <n v="4.666666666666667"/>
    <n v="1.3693270735524259"/>
    <s v="구조물"/>
    <n v="0"/>
    <n v="0"/>
    <n v="2.1024000000000003"/>
    <m/>
    <s v="-"/>
    <s v="-"/>
    <s v="-"/>
    <s v="-"/>
    <s v="-"/>
    <n v="3504.0000000000005"/>
    <n v="20"/>
    <n v="0"/>
    <n v="0.98099999999999998"/>
    <n v="0.97499999999999998"/>
    <n v="3351.4884000000002"/>
    <n v="1002"/>
    <n v="3206"/>
    <n v="3501"/>
    <n v="3626"/>
    <s v="(누적)13829"/>
    <n v="3624"/>
    <n v="1.0813106200815137"/>
    <m/>
    <m/>
    <s v="x"/>
    <m/>
    <m/>
    <m/>
    <m/>
    <s v="ㅇ"/>
    <s v="ㅇ"/>
  </r>
  <r>
    <n v="614"/>
    <x v="615"/>
    <n v="591"/>
    <x v="9"/>
    <n v="11"/>
    <x v="39"/>
    <x v="615"/>
    <s v="은평구 증산로 478"/>
    <s v="헥스파워시스템㈜"/>
    <n v="6"/>
    <n v="34"/>
    <n v="5.666666666666667"/>
    <n v="1.6627543035993742"/>
    <s v="구조물"/>
    <n v="0"/>
    <n v="0"/>
    <n v="4.2048000000000005"/>
    <m/>
    <s v="-"/>
    <s v="-"/>
    <s v="-"/>
    <s v="-"/>
    <s v="-"/>
    <n v="7008.0000000000009"/>
    <n v="24"/>
    <n v="10"/>
    <n v="0.9595663611118751"/>
    <n v="0.97499999999999998"/>
    <n v="6556.5250322052216"/>
    <n v="60"/>
    <n v="5610"/>
    <n v="6538"/>
    <n v="6627"/>
    <s v="(누적)22064"/>
    <n v="5353"/>
    <n v="0.81643858197847408"/>
    <m/>
    <m/>
    <s v="x"/>
    <m/>
    <m/>
    <m/>
    <m/>
    <s v="ㅇ"/>
    <s v="ㅇ"/>
  </r>
  <r>
    <n v="619"/>
    <x v="616"/>
    <n v="572"/>
    <x v="9"/>
    <n v="2"/>
    <x v="40"/>
    <x v="616"/>
    <s v="서대문구 포방터2길 10"/>
    <s v="㈜에코스"/>
    <n v="10"/>
    <n v="34"/>
    <n v="3.4"/>
    <n v="0.99765258215962438"/>
    <m/>
    <n v="0.7"/>
    <n v="13.999999999999998"/>
    <n v="6.3079999999999998"/>
    <m/>
    <s v="-"/>
    <s v="-"/>
    <s v="-"/>
    <n v="0.4"/>
    <n v="0.3"/>
    <n v="11680"/>
    <m/>
    <m/>
    <n v="1"/>
    <n v="0.97499999999999998"/>
    <n v="11388"/>
    <n v="4679.8"/>
    <n v="13382.5"/>
    <n v="12486.6"/>
    <n v="7840"/>
    <n v="7600"/>
    <n v="11833"/>
    <n v="1.0390762205830699"/>
    <m/>
    <m/>
    <s v="x"/>
    <m/>
    <m/>
    <m/>
    <m/>
    <s v="ㅇ"/>
    <s v="ㅇ"/>
  </r>
  <r>
    <n v="618"/>
    <x v="617"/>
    <n v="597"/>
    <x v="9"/>
    <n v="6"/>
    <x v="40"/>
    <x v="617"/>
    <s v="서대문구 세검정로4길 129-16"/>
    <s v="-"/>
    <n v="5"/>
    <n v="0"/>
    <n v="0"/>
    <n v="0"/>
    <m/>
    <n v="0"/>
    <n v="0"/>
    <n v="3.504"/>
    <m/>
    <s v="-"/>
    <s v="-"/>
    <s v="-"/>
    <s v="-"/>
    <s v="-"/>
    <n v="5840"/>
    <m/>
    <m/>
    <n v="1"/>
    <n v="0.97499999999999998"/>
    <n v="5694"/>
    <s v="-"/>
    <s v="-"/>
    <s v="-"/>
    <s v="-"/>
    <n v="3300"/>
    <n v="5124"/>
    <n v="0.89989462592202318"/>
    <m/>
    <m/>
    <s v="x"/>
    <m/>
    <m/>
    <m/>
    <m/>
    <s v="ㅇ"/>
    <s v="ㅇ"/>
  </r>
  <r>
    <n v="620"/>
    <x v="618"/>
    <n v="611"/>
    <x v="9"/>
    <n v="9"/>
    <x v="15"/>
    <x v="618"/>
    <s v="마포구 월드컵로25길 190"/>
    <s v="㈜에스피브이"/>
    <n v="65.959999999999994"/>
    <n v="200"/>
    <n v="3.032140691328078"/>
    <n v="0.88971264416903695"/>
    <m/>
    <n v="0"/>
    <n v="0"/>
    <n v="46.224767999999997"/>
    <m/>
    <s v="-"/>
    <s v="-"/>
    <s v="-"/>
    <s v="-"/>
    <s v="-"/>
    <n v="77041.279999999999"/>
    <m/>
    <m/>
    <n v="1"/>
    <n v="0.97499999999999998"/>
    <n v="75115.247999999992"/>
    <n v="12261"/>
    <n v="74633"/>
    <n v="75863"/>
    <n v="73758"/>
    <n v="36966"/>
    <n v="72028"/>
    <n v="0.95889984946864593"/>
    <m/>
    <m/>
    <s v="x"/>
    <m/>
    <m/>
    <m/>
    <m/>
    <s v="ㅇ"/>
    <s v="ㅇ"/>
  </r>
  <r>
    <n v="621"/>
    <x v="619"/>
    <n v="618"/>
    <x v="9"/>
    <n v="8"/>
    <x v="56"/>
    <x v="619"/>
    <s v="양천구 신정로 273-5"/>
    <s v="㈜에코스"/>
    <n v="12.5"/>
    <n v="39"/>
    <n v="3.12"/>
    <n v="0.91549295774647887"/>
    <m/>
    <n v="0"/>
    <n v="0"/>
    <n v="8.76"/>
    <m/>
    <s v="-"/>
    <s v="-"/>
    <s v="-"/>
    <s v="-"/>
    <s v="-"/>
    <n v="14600"/>
    <m/>
    <m/>
    <n v="1"/>
    <n v="0.97499999999999998"/>
    <n v="14235"/>
    <n v="4641"/>
    <n v="15433"/>
    <n v="15332"/>
    <n v="15622"/>
    <n v="7592"/>
    <n v="14105"/>
    <n v="0.9908675799086758"/>
    <m/>
    <m/>
    <s v="x"/>
    <m/>
    <m/>
    <m/>
    <m/>
    <s v="ㅇ"/>
    <s v="ㅇ"/>
  </r>
  <r>
    <n v="624"/>
    <x v="620"/>
    <n v="615"/>
    <x v="9"/>
    <n v="9"/>
    <x v="56"/>
    <x v="620"/>
    <s v="양천구 신정동 산146"/>
    <s v="㈜에너솔라"/>
    <n v="25.65"/>
    <n v="114"/>
    <n v="4.4444444444444446"/>
    <n v="1.3041210224308817"/>
    <s v="구조물"/>
    <n v="0"/>
    <n v="0"/>
    <n v="17.975519999999999"/>
    <m/>
    <s v="-"/>
    <s v="-"/>
    <s v="-"/>
    <s v="-"/>
    <s v="-"/>
    <n v="29959.200000000001"/>
    <m/>
    <m/>
    <n v="1"/>
    <n v="0.97499999999999998"/>
    <n v="29210.22"/>
    <n v="0"/>
    <n v="0"/>
    <n v="33136"/>
    <n v="24276"/>
    <n v="18922"/>
    <n v="28632"/>
    <n v="0.98020487349975449"/>
    <m/>
    <m/>
    <s v="x"/>
    <m/>
    <m/>
    <m/>
    <m/>
    <s v="ㅇ"/>
    <s v="ㅇ"/>
  </r>
  <r>
    <n v="622"/>
    <x v="621"/>
    <n v="621"/>
    <x v="9"/>
    <n v="10"/>
    <x v="56"/>
    <x v="621"/>
    <s v="양천구 남부순환로 33길 38"/>
    <s v="㈜세화에너지산업"/>
    <n v="3"/>
    <n v="8"/>
    <n v="2.6666666666666665"/>
    <n v="0.78247261345852892"/>
    <m/>
    <n v="0"/>
    <n v="0"/>
    <n v="2.1024000000000003"/>
    <m/>
    <s v="-"/>
    <s v="-"/>
    <s v="-"/>
    <s v="-"/>
    <s v="-"/>
    <n v="3504.0000000000005"/>
    <m/>
    <m/>
    <n v="1"/>
    <n v="0.97499999999999998"/>
    <n v="3416.4000000000005"/>
    <s v="-"/>
    <s v="-"/>
    <s v="-"/>
    <s v="-"/>
    <s v="(누적)13756"/>
    <n v="3456"/>
    <n v="1.0115911485774498"/>
    <m/>
    <m/>
    <s v="x"/>
    <m/>
    <m/>
    <m/>
    <m/>
    <s v="ㅇ"/>
    <s v="ㅇ"/>
  </r>
  <r>
    <n v="623"/>
    <x v="622"/>
    <n v="596"/>
    <x v="9"/>
    <n v="10"/>
    <x v="56"/>
    <x v="622"/>
    <s v="양천구 목동중앙북로 24길 1-31"/>
    <s v="㈜세화에너지산업"/>
    <n v="3"/>
    <n v="8"/>
    <n v="2.6666666666666665"/>
    <n v="0.78247261345852892"/>
    <m/>
    <n v="0"/>
    <n v="0"/>
    <n v="2.1024000000000003"/>
    <m/>
    <s v="-"/>
    <s v="-"/>
    <s v="-"/>
    <s v="-"/>
    <s v="-"/>
    <n v="3504.0000000000005"/>
    <m/>
    <n v="-60"/>
    <n v="0.90173754057500011"/>
    <n v="0.97499999999999998"/>
    <n v="3080.6961336204308"/>
    <s v="-"/>
    <s v="-"/>
    <s v="-"/>
    <s v="-"/>
    <n v="1445"/>
    <n v="2736"/>
    <n v="0.88811095977345089"/>
    <m/>
    <m/>
    <s v="x"/>
    <m/>
    <m/>
    <m/>
    <m/>
    <s v="ㅇ"/>
    <s v="ㅇ"/>
  </r>
  <r>
    <n v="626"/>
    <x v="623"/>
    <n v="570"/>
    <x v="9"/>
    <n v="4"/>
    <x v="65"/>
    <x v="623"/>
    <s v="강서구 허준로 87"/>
    <s v="㈜에너솔라"/>
    <n v="48.36"/>
    <n v="150"/>
    <n v="3.1017369727047148"/>
    <n v="0.91013408823495157"/>
    <m/>
    <n v="2"/>
    <n v="8.2712985938792389"/>
    <n v="31.890687999999997"/>
    <s v="수리비용"/>
    <m/>
    <m/>
    <m/>
    <n v="1"/>
    <n v="1"/>
    <n v="56484.480000000003"/>
    <n v="25"/>
    <n v="-30"/>
    <n v="0.97499999999999998"/>
    <n v="0.97499999999999998"/>
    <n v="53695.558799999999"/>
    <n v="40174"/>
    <n v="56678"/>
    <n v="43759"/>
    <n v="53689"/>
    <n v="26165"/>
    <n v="39002"/>
    <n v="0.72635429952914465"/>
    <s v="시설정비"/>
    <s v="-먼지 청소 등을 실시하여 효율개선 조치예정_x000a_-효율저하 원인분석 및 필요시 예산확보후 정비예정"/>
    <s v="ㅇ"/>
    <s v="인버터"/>
    <n v="2"/>
    <n v="66"/>
    <m/>
    <s v="ㅇ"/>
    <s v="ㅇ"/>
  </r>
  <r>
    <n v="625"/>
    <x v="624"/>
    <n v="568"/>
    <x v="9"/>
    <n v="8"/>
    <x v="65"/>
    <x v="624"/>
    <s v="강서구 공항대로42길 23-19"/>
    <s v="한양전공㈜"/>
    <n v="20"/>
    <n v="68"/>
    <n v="3.4"/>
    <n v="0.99765258215962438"/>
    <m/>
    <n v="1.2"/>
    <n v="12"/>
    <n v="12.816000000000001"/>
    <s v="수리비용"/>
    <m/>
    <m/>
    <m/>
    <n v="1"/>
    <n v="0.2"/>
    <n v="23360"/>
    <n v="30"/>
    <n v="-10"/>
    <n v="0.997"/>
    <n v="0.97499999999999998"/>
    <n v="22707.672000000002"/>
    <n v="6451"/>
    <n v="25553"/>
    <n v="22590"/>
    <n v="21954"/>
    <n v="13594"/>
    <n v="21702"/>
    <n v="0.9557122368158214"/>
    <m/>
    <m/>
    <s v="ㅇ"/>
    <s v="케이블"/>
    <n v="1.2"/>
    <n v="1"/>
    <m/>
    <s v="ㅇ"/>
    <s v="ㅇ"/>
  </r>
  <r>
    <n v="629"/>
    <x v="625"/>
    <n v="632"/>
    <x v="9"/>
    <n v="4"/>
    <x v="16"/>
    <x v="625"/>
    <s v="구로구 신도림로19길 108"/>
    <s v="㈜에너솔라"/>
    <n v="44.8"/>
    <n v="149"/>
    <n v="3.3258928571428572"/>
    <n v="0.97590752850435958"/>
    <m/>
    <n v="0"/>
    <n v="0"/>
    <n v="31.395839999999996"/>
    <m/>
    <s v="-"/>
    <s v="-"/>
    <s v="-"/>
    <s v="-"/>
    <s v="-"/>
    <n v="52326.399999999994"/>
    <m/>
    <m/>
    <n v="1"/>
    <n v="0.97499999999999998"/>
    <n v="51018.239999999991"/>
    <n v="41323"/>
    <n v="59620"/>
    <n v="60215"/>
    <n v="48982"/>
    <n v="35700"/>
    <n v="55840"/>
    <n v="1.0945105123187318"/>
    <m/>
    <m/>
    <s v="x"/>
    <m/>
    <m/>
    <m/>
    <m/>
    <s v="ㅇ"/>
    <s v="ㅇ"/>
  </r>
  <r>
    <n v="627"/>
    <x v="626"/>
    <n v="634"/>
    <x v="9"/>
    <n v="7"/>
    <x v="16"/>
    <x v="626"/>
    <s v="구로구 구로동 689-7"/>
    <s v="헥스파워시스템㈜"/>
    <n v="60.48"/>
    <n v="218"/>
    <n v="3.6044973544973549"/>
    <n v="1.0576576744417121"/>
    <m/>
    <n v="0"/>
    <n v="0"/>
    <n v="42.384383999999997"/>
    <m/>
    <s v="-"/>
    <s v="-"/>
    <s v="-"/>
    <s v="-"/>
    <s v="-"/>
    <n v="70640.639999999999"/>
    <m/>
    <m/>
    <n v="1"/>
    <n v="0.97499999999999998"/>
    <n v="68874.623999999996"/>
    <n v="37019"/>
    <n v="82778"/>
    <n v="88003"/>
    <n v="80817"/>
    <n v="49700"/>
    <n v="76016"/>
    <n v="1.103686605969711"/>
    <m/>
    <m/>
    <s v="x"/>
    <m/>
    <m/>
    <m/>
    <m/>
    <s v="x"/>
    <s v="x"/>
  </r>
  <r>
    <n v="628"/>
    <x v="627"/>
    <n v="602"/>
    <x v="9"/>
    <n v="8"/>
    <x v="16"/>
    <x v="627"/>
    <s v="구로구 구로동 120-5"/>
    <s v="케이디파워㈜"/>
    <n v="21"/>
    <n v="69"/>
    <n v="3.2857142857142856"/>
    <n v="0.96411804158283032"/>
    <m/>
    <n v="0"/>
    <n v="0"/>
    <n v="14.716799999999999"/>
    <m/>
    <s v="-"/>
    <s v="-"/>
    <s v="-"/>
    <s v="-"/>
    <s v="-"/>
    <n v="24528"/>
    <m/>
    <m/>
    <n v="1"/>
    <n v="0.97499999999999998"/>
    <n v="23914.799999999999"/>
    <n v="1101"/>
    <n v="27478"/>
    <n v="25177"/>
    <n v="24520"/>
    <n v="5764"/>
    <n v="21790"/>
    <n v="0.91115125361700711"/>
    <m/>
    <m/>
    <s v="x"/>
    <m/>
    <m/>
    <m/>
    <m/>
    <s v="ㅇ"/>
    <s v="ㅇ"/>
  </r>
  <r>
    <n v="630"/>
    <x v="628"/>
    <n v="598"/>
    <x v="9"/>
    <n v="7"/>
    <x v="41"/>
    <x v="628"/>
    <s v="금천구 시흥대로18길 65-4"/>
    <s v="㈜이맥스시스템"/>
    <n v="5"/>
    <n v="17"/>
    <n v="3.4"/>
    <n v="0.99765258215962438"/>
    <m/>
    <n v="0"/>
    <n v="0"/>
    <n v="3.504"/>
    <m/>
    <s v="-"/>
    <s v="-"/>
    <s v="-"/>
    <s v="-"/>
    <s v="-"/>
    <n v="5840"/>
    <m/>
    <m/>
    <n v="1"/>
    <n v="0.97499999999999998"/>
    <n v="5694"/>
    <n v="2121"/>
    <n v="476"/>
    <n v="4717"/>
    <n v="4515"/>
    <n v="2561"/>
    <n v="5151"/>
    <n v="0.90463645943098003"/>
    <m/>
    <m/>
    <s v="x"/>
    <m/>
    <m/>
    <m/>
    <m/>
    <s v="ㅇ"/>
    <s v="ㅇ"/>
  </r>
  <r>
    <n v="631"/>
    <x v="629"/>
    <n v="567"/>
    <x v="9"/>
    <n v="1"/>
    <x v="17"/>
    <x v="629"/>
    <s v="영등포구 여의대방로 372"/>
    <s v="케이디파워㈜"/>
    <n v="26.4"/>
    <n v="76"/>
    <n v="2.8787878787878789"/>
    <n v="0.84471475316545741"/>
    <m/>
    <n v="0.97"/>
    <n v="7.3484848484848486"/>
    <n v="17.531120000000001"/>
    <s v="수리비용"/>
    <s v="-"/>
    <s v="-"/>
    <n v="0.77"/>
    <n v="0.1"/>
    <n v="0.1"/>
    <n v="30835.200000000001"/>
    <n v="15"/>
    <n v="-45"/>
    <n v="0.93700000000000006"/>
    <n v="0.97499999999999998"/>
    <n v="28170.26784"/>
    <s v="-"/>
    <s v="-"/>
    <n v="480"/>
    <n v="16049"/>
    <n v="17981"/>
    <n v="29278"/>
    <n v="1.0393227414908384"/>
    <m/>
    <m/>
    <s v="ㅇ"/>
    <s v="인버터"/>
    <n v="0.77"/>
    <n v="2"/>
    <m/>
    <s v="ㅇ"/>
    <s v="ㅇ"/>
  </r>
  <r>
    <n v="633"/>
    <x v="630"/>
    <n v="575"/>
    <x v="9"/>
    <n v="8"/>
    <x v="17"/>
    <x v="630"/>
    <s v="영등포구 대림로41길12"/>
    <s v="(주)대연씨앤아이"/>
    <n v="3"/>
    <n v="8"/>
    <n v="2.6666666666666665"/>
    <n v="0.78247261345852892"/>
    <m/>
    <n v="0.5"/>
    <n v="33.333333333333336"/>
    <n v="1.6024000000000003"/>
    <m/>
    <s v="-"/>
    <s v="-"/>
    <s v="-"/>
    <n v="0.2"/>
    <n v="0.3"/>
    <n v="3504.0000000000005"/>
    <m/>
    <m/>
    <n v="1"/>
    <n v="0.97499999999999998"/>
    <n v="3416.4000000000005"/>
    <n v="923"/>
    <n v="2130"/>
    <n v="1860"/>
    <n v="2380"/>
    <n v="2100"/>
    <n v="3275"/>
    <n v="0.95861140381688315"/>
    <m/>
    <m/>
    <s v="x"/>
    <m/>
    <m/>
    <m/>
    <m/>
    <s v="ㅇ"/>
    <s v="ㅇ"/>
  </r>
  <r>
    <n v="634"/>
    <x v="631"/>
    <n v="574"/>
    <x v="9"/>
    <n v="8"/>
    <x v="17"/>
    <x v="631"/>
    <s v="영등포구 영등포로12길 8"/>
    <s v="(주)대연씨앤아이"/>
    <n v="3"/>
    <n v="8"/>
    <n v="2.6666666666666665"/>
    <n v="0.78247261345852892"/>
    <m/>
    <n v="0.5"/>
    <n v="33.333333333333336"/>
    <n v="1.6024000000000003"/>
    <m/>
    <s v="-"/>
    <s v="-"/>
    <s v="-"/>
    <n v="0.2"/>
    <n v="0.3"/>
    <n v="3504.0000000000005"/>
    <m/>
    <m/>
    <n v="1"/>
    <n v="0.97499999999999998"/>
    <n v="3416.4000000000005"/>
    <s v="-"/>
    <s v="-"/>
    <s v="-"/>
    <s v="-"/>
    <n v="1700"/>
    <n v="3258"/>
    <n v="0.95363540569020011"/>
    <m/>
    <m/>
    <s v="x"/>
    <m/>
    <m/>
    <m/>
    <m/>
    <s v="ㅇ"/>
    <s v="ㅇ"/>
  </r>
  <r>
    <n v="635"/>
    <x v="632"/>
    <n v="573"/>
    <x v="9"/>
    <n v="8"/>
    <x v="17"/>
    <x v="632"/>
    <s v="영등포구 양평로20길14-1"/>
    <s v="(주)대연씨앤아이"/>
    <n v="3"/>
    <n v="8"/>
    <n v="2.6666666666666665"/>
    <n v="0.78247261345852892"/>
    <m/>
    <n v="0.5"/>
    <n v="33.333333333333336"/>
    <n v="1.6024000000000003"/>
    <m/>
    <s v="-"/>
    <s v="-"/>
    <s v="-"/>
    <n v="0.2"/>
    <n v="0.3"/>
    <n v="3504.0000000000005"/>
    <m/>
    <m/>
    <n v="1"/>
    <n v="0.97499999999999998"/>
    <n v="3416.4000000000005"/>
    <s v="-"/>
    <s v="-"/>
    <n v="2970"/>
    <s v="-"/>
    <n v="1900"/>
    <n v="2913"/>
    <n v="0.85265191429574982"/>
    <m/>
    <s v="신축건물로 인한 음영발생"/>
    <s v="x"/>
    <m/>
    <m/>
    <m/>
    <m/>
    <s v="ㅇ"/>
    <s v="ㅇ"/>
  </r>
  <r>
    <n v="632"/>
    <x v="633"/>
    <n v="571"/>
    <x v="9"/>
    <n v="10"/>
    <x v="17"/>
    <x v="633"/>
    <s v="영등포구 영등포로29길 1"/>
    <s v="한화그룹㈜"/>
    <n v="3"/>
    <n v="0"/>
    <n v="0"/>
    <n v="0"/>
    <m/>
    <n v="0.90800000000000003"/>
    <n v="60.533333333333339"/>
    <n v="1.1944000000000004"/>
    <m/>
    <s v="-"/>
    <s v="-"/>
    <s v="-"/>
    <n v="0.25"/>
    <n v="0.65800000000000003"/>
    <n v="3504.0000000000005"/>
    <m/>
    <m/>
    <n v="1"/>
    <n v="0.97499999999999998"/>
    <n v="3416.4000000000005"/>
    <s v="-"/>
    <s v="-"/>
    <s v="-"/>
    <s v="-"/>
    <s v="(누적)26000"/>
    <n v="3893"/>
    <n v="1.1395035710104202"/>
    <m/>
    <m/>
    <s v="x"/>
    <m/>
    <m/>
    <m/>
    <m/>
    <s v="ㅇ"/>
    <s v="ㅇ"/>
  </r>
  <r>
    <n v="636"/>
    <x v="634"/>
    <n v="582"/>
    <x v="9"/>
    <n v="4"/>
    <x v="42"/>
    <x v="634"/>
    <s v="동작구 양녕로36길 15"/>
    <s v="(주)대연씨앤아이"/>
    <n v="10"/>
    <n v="36"/>
    <n v="3.6"/>
    <n v="1.0563380281690142"/>
    <m/>
    <n v="0"/>
    <n v="0"/>
    <n v="7.008"/>
    <m/>
    <m/>
    <m/>
    <m/>
    <m/>
    <m/>
    <n v="11680"/>
    <m/>
    <m/>
    <n v="1"/>
    <n v="0.97499999999999998"/>
    <n v="11388"/>
    <n v="8867.4"/>
    <n v="12734.1"/>
    <n v="13532"/>
    <n v="10121.700000000001"/>
    <n v="6238"/>
    <n v="6238"/>
    <n v="0.54776958201615733"/>
    <s v="시설정비"/>
    <s v="인버터 동작불량 보수중"/>
    <s v="x"/>
    <m/>
    <m/>
    <m/>
    <m/>
    <s v="ㅇ"/>
    <s v="ㅇ"/>
  </r>
  <r>
    <n v="637"/>
    <x v="635"/>
    <n v="588"/>
    <x v="9"/>
    <n v="4"/>
    <x v="42"/>
    <x v="635"/>
    <s v="동작구 노량진로32길 62"/>
    <s v="㈜에코스"/>
    <n v="10"/>
    <n v="34"/>
    <n v="3.4"/>
    <n v="0.99765258215962438"/>
    <m/>
    <n v="0"/>
    <n v="0"/>
    <n v="7.008"/>
    <m/>
    <m/>
    <m/>
    <m/>
    <m/>
    <m/>
    <n v="11680"/>
    <n v="35"/>
    <n v="50"/>
    <n v="0.94699999999999995"/>
    <n v="0.97499999999999998"/>
    <n v="10784.436"/>
    <n v="8177"/>
    <n v="12093"/>
    <n v="13610"/>
    <n v="9242"/>
    <n v="5206"/>
    <n v="8658"/>
    <n v="0.80282362471250235"/>
    <m/>
    <s v="건물 방위에 맞춰 설치 방위각 남서향으로 설치"/>
    <s v="x"/>
    <m/>
    <m/>
    <m/>
    <m/>
    <s v="ㅇ"/>
    <s v="ㅇ"/>
  </r>
  <r>
    <n v="638"/>
    <x v="636"/>
    <n v="590"/>
    <x v="9"/>
    <n v="4"/>
    <x v="42"/>
    <x v="636"/>
    <s v="동작구 양녕로36길 13"/>
    <s v="㈜대연씨앤아이"/>
    <n v="20"/>
    <n v="67"/>
    <n v="3.35"/>
    <n v="0.982981220657277"/>
    <m/>
    <n v="0"/>
    <n v="0"/>
    <n v="14.016"/>
    <m/>
    <m/>
    <m/>
    <m/>
    <m/>
    <m/>
    <n v="23360"/>
    <m/>
    <m/>
    <n v="1"/>
    <n v="0.97499999999999998"/>
    <n v="22776"/>
    <n v="23807.8"/>
    <n v="22275.4"/>
    <s v="-"/>
    <n v="4033"/>
    <s v="(누적)165320"/>
    <n v="18396"/>
    <n v="0.80769230769230771"/>
    <m/>
    <s v="모니터링 시스템 오류 추정_x000a_(2020년 하반기 점검전문업체 점검 결과 출력전압 정상확인)_x000a_// 2020.7월 제출한 누적값 165320kW를 기재 착오로 판단, 16532kW로 보고 그 이후 발전량 1864kW를 합산 18,396kW를 2020년 발전량으로 기재"/>
    <s v="x"/>
    <m/>
    <m/>
    <m/>
    <m/>
    <s v="ㅇ"/>
    <s v="ㅇ"/>
  </r>
  <r>
    <n v="639"/>
    <x v="637"/>
    <n v="593"/>
    <x v="9"/>
    <n v="10"/>
    <x v="42"/>
    <x v="637"/>
    <s v="동작구 솔밭로 7401"/>
    <s v="(주)대연씨앤아이"/>
    <n v="10"/>
    <n v="36"/>
    <n v="3.6"/>
    <n v="1.0563380281690142"/>
    <m/>
    <n v="0"/>
    <n v="0"/>
    <n v="7.008"/>
    <m/>
    <s v="-"/>
    <s v="-"/>
    <s v="-"/>
    <s v="-"/>
    <s v="-"/>
    <n v="11680"/>
    <m/>
    <m/>
    <n v="1"/>
    <n v="0.97499999999999998"/>
    <n v="11388"/>
    <n v="883"/>
    <n v="12521"/>
    <n v="12423"/>
    <n v="11721"/>
    <n v="4916"/>
    <n v="9561"/>
    <n v="0.83956796628029506"/>
    <m/>
    <m/>
    <s v="x"/>
    <m/>
    <m/>
    <m/>
    <m/>
    <s v="ㅇ"/>
    <s v="ㅇ"/>
  </r>
  <r>
    <n v="640"/>
    <x v="638"/>
    <n v="592"/>
    <x v="9"/>
    <n v="2"/>
    <x v="18"/>
    <x v="638"/>
    <s v="관악구 낙성대로3길 37"/>
    <s v="㈜에너솔라"/>
    <n v="44.8"/>
    <n v="133"/>
    <n v="2.96875"/>
    <n v="0.87111208920187799"/>
    <m/>
    <n v="0"/>
    <n v="0"/>
    <n v="31.395839999999996"/>
    <m/>
    <s v="-"/>
    <m/>
    <m/>
    <m/>
    <m/>
    <n v="52326.399999999994"/>
    <m/>
    <m/>
    <n v="1"/>
    <n v="0.97499999999999998"/>
    <n v="51018.239999999991"/>
    <n v="41304"/>
    <n v="48861"/>
    <n v="49284"/>
    <n v="45722"/>
    <n v="23752"/>
    <n v="41959"/>
    <n v="0.82243135004265155"/>
    <m/>
    <s v=" 장마 등으로 발전효율 저하"/>
    <s v="x"/>
    <m/>
    <m/>
    <m/>
    <m/>
    <s v="ㅇ"/>
    <s v="ㅇ"/>
  </r>
  <r>
    <n v="642"/>
    <x v="639"/>
    <n v="585"/>
    <x v="9"/>
    <n v="2"/>
    <x v="18"/>
    <x v="639"/>
    <s v="관악구 난곡로30길 40"/>
    <s v="㈜에너솔라"/>
    <n v="9.6"/>
    <n v="33.200000000000003"/>
    <n v="3.4583333333333339"/>
    <n v="1.0147691705790298"/>
    <m/>
    <n v="0"/>
    <n v="0"/>
    <n v="6.7276800000000003"/>
    <m/>
    <m/>
    <m/>
    <m/>
    <m/>
    <m/>
    <n v="11212.8"/>
    <m/>
    <m/>
    <n v="1"/>
    <n v="0.97499999999999998"/>
    <n v="10932.48"/>
    <n v="10400"/>
    <n v="12351"/>
    <n v="11946"/>
    <n v="10578"/>
    <n v="7014"/>
    <n v="8453"/>
    <n v="0.77320059126565976"/>
    <s v="원인미상"/>
    <s v="인버터 작동오류 발생으로 태양광 설치업체(솔라파크코리아) 보수요청하였으나 이상없음."/>
    <s v="x"/>
    <m/>
    <m/>
    <m/>
    <m/>
    <s v="ㅇ"/>
    <s v="ㅇ"/>
  </r>
  <r>
    <n v="643"/>
    <x v="640"/>
    <n v="569"/>
    <x v="9"/>
    <n v="7"/>
    <x v="18"/>
    <x v="640"/>
    <s v="관악구 난우10길 33"/>
    <s v="㈜한국스카다"/>
    <n v="10.08"/>
    <n v="32.799999999999997"/>
    <n v="3.2539682539682535"/>
    <n v="0.95480289142260966"/>
    <m/>
    <n v="1.3"/>
    <n v="25.793650793650794"/>
    <n v="5.7640640000000012"/>
    <s v="수리비용"/>
    <s v="-"/>
    <s v="-"/>
    <s v="-"/>
    <s v="-"/>
    <n v="1.3"/>
    <n v="11773.44"/>
    <n v="15"/>
    <n v="34"/>
    <n v="0.94899999999999995"/>
    <n v="0.97499999999999998"/>
    <n v="10893.669696000001"/>
    <n v="4431"/>
    <n v="12269"/>
    <n v="12209"/>
    <n v="12137"/>
    <n v="6161"/>
    <n v="6486"/>
    <n v="0.59539165230808921"/>
    <s v="시설정비"/>
    <s v="2020.6.12 인버터고장으로 발전안됨(2020.12.17 인버터수리 완료)"/>
    <s v="ㅇ"/>
    <s v="인버터"/>
    <n v="1.3"/>
    <n v="187"/>
    <s v="2020/6~2020/12"/>
    <s v="ㅇ"/>
    <s v="ㅇ"/>
  </r>
  <r>
    <n v="641"/>
    <x v="641"/>
    <n v="601"/>
    <x v="9"/>
    <n v="10"/>
    <x v="18"/>
    <x v="641"/>
    <s v="관악구 신림동 1635-60"/>
    <s v="㈜에이스쏠라"/>
    <n v="3"/>
    <n v="12.8"/>
    <n v="4.2666666666666666"/>
    <n v="1.2519561815336464"/>
    <s v="구조물"/>
    <n v="0"/>
    <n v="0"/>
    <n v="2.1024000000000003"/>
    <m/>
    <s v="-"/>
    <s v="-"/>
    <s v="-"/>
    <s v="-"/>
    <s v="-"/>
    <n v="3504.0000000000005"/>
    <m/>
    <m/>
    <n v="1"/>
    <n v="0.97499999999999998"/>
    <n v="3416.4000000000005"/>
    <n v="0"/>
    <n v="0"/>
    <n v="3100"/>
    <n v="2950"/>
    <n v="2240"/>
    <n v="3111"/>
    <n v="0.91060765718299952"/>
    <m/>
    <m/>
    <s v="x"/>
    <m/>
    <m/>
    <m/>
    <m/>
    <s v="ㅇ"/>
    <s v="ㅇ"/>
  </r>
  <r>
    <n v="645"/>
    <x v="642"/>
    <n v="616"/>
    <x v="9"/>
    <n v="1"/>
    <x v="43"/>
    <x v="642"/>
    <s v="서초구 남부순환로323길 44-15"/>
    <s v="(주)진명전설"/>
    <n v="2"/>
    <n v="7.5"/>
    <n v="3.75"/>
    <n v="1.1003521126760563"/>
    <m/>
    <n v="0"/>
    <n v="0"/>
    <n v="1.4016"/>
    <m/>
    <s v="-"/>
    <s v="-"/>
    <s v="-"/>
    <s v="-"/>
    <s v="-"/>
    <n v="2336"/>
    <m/>
    <m/>
    <n v="1"/>
    <n v="0.97499999999999998"/>
    <n v="2277.6"/>
    <n v="2102"/>
    <n v="2079"/>
    <n v="2056"/>
    <s v="-"/>
    <n v="1125"/>
    <n v="2250"/>
    <n v="0.987881981032666"/>
    <m/>
    <m/>
    <s v="x"/>
    <m/>
    <m/>
    <m/>
    <m/>
    <s v="ㅇ"/>
    <s v="ㅇ"/>
  </r>
  <r>
    <n v="644"/>
    <x v="643"/>
    <n v="643"/>
    <x v="9"/>
    <n v="4"/>
    <x v="43"/>
    <x v="643"/>
    <s v="서초구 남부순환로340길 21"/>
    <s v="오성이앤씨㈜"/>
    <n v="8"/>
    <n v="29"/>
    <n v="3.625"/>
    <n v="1.0636737089201878"/>
    <m/>
    <n v="0"/>
    <n v="0"/>
    <n v="5.6063999999999998"/>
    <m/>
    <s v="-"/>
    <s v="-"/>
    <s v="-"/>
    <s v="-"/>
    <s v="-"/>
    <n v="9344"/>
    <n v="15"/>
    <m/>
    <n v="1"/>
    <n v="0.97499999999999998"/>
    <n v="9110.4"/>
    <n v="6326"/>
    <n v="8410"/>
    <n v="8316"/>
    <n v="9123"/>
    <n v="5026"/>
    <n v="10595"/>
    <n v="1.1629566210045663"/>
    <m/>
    <m/>
    <s v="x"/>
    <m/>
    <m/>
    <m/>
    <m/>
    <s v="ㅇ"/>
    <s v="ㅇ"/>
  </r>
  <r>
    <n v="646"/>
    <x v="644"/>
    <n v="586"/>
    <x v="9"/>
    <n v="9"/>
    <x v="45"/>
    <x v="644"/>
    <s v="송파구 탄천동로 211"/>
    <s v="㈜에코스/㈜에코스"/>
    <n v="30"/>
    <n v="125"/>
    <n v="4.166666666666667"/>
    <n v="1.2226134585289516"/>
    <s v="구조물"/>
    <n v="0"/>
    <n v="0"/>
    <n v="21.024000000000001"/>
    <m/>
    <s v="-"/>
    <s v="-"/>
    <s v="-"/>
    <s v="-"/>
    <s v="-"/>
    <n v="35040"/>
    <n v="90"/>
    <n v="0"/>
    <n v="0.68300000000000005"/>
    <n v="0.97499999999999998"/>
    <n v="23334.011999999999"/>
    <n v="5736.8"/>
    <n v="24623.200000000001"/>
    <n v="23964"/>
    <s v="-"/>
    <n v="12578"/>
    <n v="18212"/>
    <n v="0.78049158455905487"/>
    <s v="디자인 태양광"/>
    <s v="태양광 시설이 곡선처리로 디자인되어 효율 감소"/>
    <s v="x"/>
    <m/>
    <m/>
    <m/>
    <m/>
    <s v="ㅇ"/>
    <s v="ㅇ"/>
  </r>
  <r>
    <n v="649"/>
    <x v="645"/>
    <n v="659"/>
    <x v="10"/>
    <n v="1"/>
    <x v="19"/>
    <x v="645"/>
    <s v="노원구 동일로174길 27 (공릉동)"/>
    <s v="헥스파워시스템㈜"/>
    <n v="113"/>
    <n v="387"/>
    <n v="3.4247787610619471"/>
    <n v="1.0702433628318584"/>
    <m/>
    <n v="0.2"/>
    <n v="0.44247787610619471"/>
    <n v="63.152319999999996"/>
    <m/>
    <s v="-"/>
    <s v="-"/>
    <s v="-"/>
    <s v="-"/>
    <n v="0.2"/>
    <n v="131984"/>
    <n v="10"/>
    <n v="15"/>
    <n v="0.93799999999999994"/>
    <n v="0.98"/>
    <n v="121324.97215999999"/>
    <n v="0"/>
    <n v="100025"/>
    <n v="132236"/>
    <n v="132092"/>
    <n v="85052"/>
    <n v="128366"/>
    <n v="1.0580344484292525"/>
    <m/>
    <m/>
    <s v="x"/>
    <m/>
    <m/>
    <m/>
    <m/>
    <s v="ㅇ"/>
    <s v="ㅇ"/>
  </r>
  <r>
    <n v="648"/>
    <x v="646"/>
    <n v="723"/>
    <x v="10"/>
    <n v="5"/>
    <x v="19"/>
    <x v="646"/>
    <s v="금천구 독산로50길 23"/>
    <s v="LS산전(주)"/>
    <n v="60"/>
    <n v="192"/>
    <n v="3.2"/>
    <n v="1"/>
    <m/>
    <n v="0"/>
    <n v="0"/>
    <n v="33.638399999999997"/>
    <m/>
    <s v="-"/>
    <s v="-"/>
    <s v="-"/>
    <s v="-"/>
    <s v="-"/>
    <n v="70080"/>
    <n v="10"/>
    <n v="0"/>
    <n v="0.94199999999999995"/>
    <n v="0.98"/>
    <n v="64695.052799999998"/>
    <n v="0"/>
    <n v="37526.800000000003"/>
    <n v="82977.3"/>
    <n v="89050"/>
    <n v="50584"/>
    <n v="77844"/>
    <n v="1.2032450184506225"/>
    <m/>
    <m/>
    <s v="x"/>
    <m/>
    <m/>
    <m/>
    <m/>
    <s v="ㅇ"/>
    <s v="ㅇ"/>
  </r>
  <r>
    <n v="650"/>
    <x v="647"/>
    <n v="711"/>
    <x v="10"/>
    <n v="2"/>
    <x v="82"/>
    <x v="647"/>
    <s v="용산구 한남대로 136"/>
    <s v="한양전공㈜"/>
    <n v="35.31"/>
    <n v="113"/>
    <n v="3.2002265647125459"/>
    <n v="1.0000708014726705"/>
    <m/>
    <n v="0"/>
    <n v="0"/>
    <n v="19.796198400000005"/>
    <m/>
    <s v="-"/>
    <s v="-"/>
    <s v="-"/>
    <s v="-"/>
    <s v="-"/>
    <n v="41242.080000000009"/>
    <n v="20"/>
    <n v="10"/>
    <n v="0.97899999999999998"/>
    <n v="0.98"/>
    <n v="39568.476393600009"/>
    <n v="0"/>
    <n v="44821"/>
    <n v="43317"/>
    <n v="45727"/>
    <n v="26028"/>
    <n v="44252"/>
    <n v="1.1183650226966415"/>
    <m/>
    <m/>
    <s v="x"/>
    <m/>
    <m/>
    <m/>
    <m/>
    <s v="ㅇ"/>
    <s v="ㅇ"/>
  </r>
  <r>
    <n v="651"/>
    <x v="648"/>
    <n v="708"/>
    <x v="10"/>
    <n v="6"/>
    <x v="83"/>
    <x v="648"/>
    <s v="마포구 백범로31길 21"/>
    <s v="에디슨솔라이텍㈜"/>
    <n v="125.568"/>
    <n v="379"/>
    <n v="3.0182849133537206"/>
    <n v="0.94321403542303761"/>
    <m/>
    <n v="0"/>
    <n v="0"/>
    <n v="70.398443520000001"/>
    <m/>
    <s v="-"/>
    <s v="-"/>
    <s v="-"/>
    <s v="-"/>
    <s v="-"/>
    <n v="146663.424"/>
    <m/>
    <m/>
    <n v="1"/>
    <n v="0.98"/>
    <n v="143730.15552"/>
    <n v="0"/>
    <n v="78106"/>
    <n v="134757.99"/>
    <n v="162028.51"/>
    <n v="102868"/>
    <n v="157707"/>
    <n v="1.0972436468146389"/>
    <m/>
    <m/>
    <s v="x"/>
    <m/>
    <m/>
    <m/>
    <m/>
    <s v="ㅇ"/>
    <s v="ㅇ"/>
  </r>
  <r>
    <n v="652"/>
    <x v="649"/>
    <n v="654"/>
    <x v="10"/>
    <n v="8"/>
    <x v="9"/>
    <x v="649"/>
    <s v="구로구 오류로 36-25"/>
    <s v="에디슨솔라이텍㈜"/>
    <n v="66"/>
    <n v="252"/>
    <n v="3.8181818181818183"/>
    <n v="1.1931818181818181"/>
    <s v="구조물"/>
    <n v="1.1000000000000001"/>
    <n v="4.166666666666667"/>
    <n v="35.902239999999999"/>
    <s v="수리비용"/>
    <s v="-"/>
    <s v="-"/>
    <n v="0.7"/>
    <n v="0.4"/>
    <s v="-"/>
    <n v="77088"/>
    <n v="35"/>
    <n v="-40"/>
    <n v="0.96199999999999997"/>
    <n v="0.98"/>
    <n v="72675.482879999996"/>
    <n v="0"/>
    <n v="0"/>
    <n v="50018"/>
    <n v="73775"/>
    <n v="49135"/>
    <n v="73727"/>
    <n v="1.0144686636858848"/>
    <m/>
    <m/>
    <s v="ㅇ"/>
    <s v="인버터"/>
    <n v="1.1000000000000001"/>
    <n v="2"/>
    <m/>
    <s v="ㅇ"/>
    <s v="ㅇ"/>
  </r>
  <r>
    <n v="653"/>
    <x v="650"/>
    <n v="673"/>
    <x v="10"/>
    <n v="10"/>
    <x v="9"/>
    <x v="650"/>
    <s v="강북구 삼양로 92길 40"/>
    <s v="유니테스트"/>
    <n v="17.75"/>
    <n v="59"/>
    <n v="3.323943661971831"/>
    <n v="1.038732394366197"/>
    <m/>
    <n v="0"/>
    <n v="0"/>
    <n v="9.9513599999999993"/>
    <m/>
    <s v="-"/>
    <s v="-"/>
    <s v="-"/>
    <s v="-"/>
    <s v="-"/>
    <n v="20732"/>
    <n v="15"/>
    <n v="-90"/>
    <n v="0.874"/>
    <n v="0.98"/>
    <n v="17757.372639999998"/>
    <n v="0"/>
    <n v="522"/>
    <n v="21816"/>
    <n v="20156"/>
    <n v="13171"/>
    <n v="14870"/>
    <n v="0.83739865696708171"/>
    <m/>
    <s v="인버터 고장"/>
    <s v="x"/>
    <m/>
    <m/>
    <m/>
    <m/>
    <s v="ㅇ"/>
    <s v="ㅇ"/>
  </r>
  <r>
    <n v="654"/>
    <x v="651"/>
    <n v="706"/>
    <x v="10"/>
    <n v="12"/>
    <x v="9"/>
    <x v="651"/>
    <s v="용산구 한남동 108"/>
    <s v="한화 큐셀코리아"/>
    <n v="8.7750000000000004"/>
    <n v="24"/>
    <n v="2.7350427350427351"/>
    <n v="0.85470085470085466"/>
    <m/>
    <n v="0"/>
    <n v="0"/>
    <n v="4.9196160000000004"/>
    <m/>
    <s v="-"/>
    <s v="-"/>
    <s v="-"/>
    <s v="-"/>
    <s v="-"/>
    <n v="10249.200000000001"/>
    <n v="20"/>
    <n v="0"/>
    <n v="0.98099999999999998"/>
    <n v="0.98"/>
    <n v="9853.3758960000014"/>
    <n v="0"/>
    <n v="0"/>
    <n v="9392"/>
    <n v="11730"/>
    <n v="7243"/>
    <n v="10702"/>
    <n v="1.0861252136280013"/>
    <m/>
    <m/>
    <s v="x"/>
    <m/>
    <m/>
    <m/>
    <m/>
    <s v="ㅇ"/>
    <s v="ㅇ"/>
  </r>
  <r>
    <n v="655"/>
    <x v="652"/>
    <n v="651"/>
    <x v="10"/>
    <n v="7"/>
    <x v="20"/>
    <x v="652"/>
    <s v="강북구 삼양로 181길 17"/>
    <s v="우이신설경전철㈜"/>
    <n v="48.7"/>
    <n v="200"/>
    <n v="4.1067761806981515"/>
    <n v="1.2833675564681724"/>
    <s v="구조물"/>
    <n v="1"/>
    <n v="5.1334702258726894"/>
    <n v="26.303168000000007"/>
    <s v="수리비용"/>
    <s v="-"/>
    <s v="-"/>
    <s v="-"/>
    <s v="-"/>
    <n v="1"/>
    <n v="56881.600000000013"/>
    <n v="20"/>
    <n v="-20"/>
    <n v="0.97399999999999998"/>
    <n v="0.98"/>
    <n v="54294.624832000009"/>
    <n v="0"/>
    <n v="16953"/>
    <n v="51832"/>
    <n v="53365"/>
    <n v="31130"/>
    <n v="44800"/>
    <n v="0.82512772007581692"/>
    <m/>
    <s v="여름철 긴 장마기간으로 발전량 감소  "/>
    <s v="ㅇ"/>
    <s v="모니터링"/>
    <n v="1"/>
    <n v="30"/>
    <m/>
    <s v="ㅇ"/>
    <s v="ㅇ"/>
  </r>
  <r>
    <n v="659"/>
    <x v="653"/>
    <n v="697"/>
    <x v="10"/>
    <n v="3"/>
    <x v="21"/>
    <x v="653"/>
    <s v="성동구 자동차시장길 45"/>
    <s v="에디슨솔라이텍㈜"/>
    <n v="124"/>
    <n v="844"/>
    <n v="6.806451612903226"/>
    <n v="2.127016129032258"/>
    <s v="BIPV"/>
    <n v="12"/>
    <n v="24.193548387096772"/>
    <n v="57.519360000000006"/>
    <s v="수리비용"/>
    <s v="-"/>
    <s v="-"/>
    <s v="-"/>
    <s v="-"/>
    <n v="12"/>
    <n v="144832"/>
    <n v="20"/>
    <n v="23.5"/>
    <n v="0.97499999999999998"/>
    <n v="0.98"/>
    <n v="138386.976"/>
    <n v="0"/>
    <n v="76679"/>
    <n v="130678"/>
    <n v="121760"/>
    <n v="57956"/>
    <n v="97313"/>
    <n v="0.70319478619144049"/>
    <s v="BIPV"/>
    <s v="70%가 BIPV형이며, 패널보수공사 진행  "/>
    <s v="ㅇ"/>
    <s v="인버터, 패널"/>
    <n v="12"/>
    <n v="38"/>
    <m/>
    <s v="ㅇ"/>
    <s v="ㅇ"/>
  </r>
  <r>
    <n v="656"/>
    <x v="654"/>
    <n v="649"/>
    <x v="10"/>
    <n v="8"/>
    <x v="71"/>
    <x v="654"/>
    <s v="송파구 신천동 5번지"/>
    <s v="㈜남양계전"/>
    <n v="47.25"/>
    <n v="210"/>
    <n v="4.4444444444444446"/>
    <n v="1.3888888888888888"/>
    <s v="구조물"/>
    <n v="3.3"/>
    <n v="17.460317460317462"/>
    <n v="23.190240000000003"/>
    <s v="안전관리"/>
    <s v="-"/>
    <s v="-"/>
    <n v="1"/>
    <n v="1"/>
    <n v="1.3"/>
    <n v="55188.000000000007"/>
    <m/>
    <m/>
    <n v="1"/>
    <n v="0.98"/>
    <n v="54084.240000000005"/>
    <n v="0"/>
    <n v="14769"/>
    <n v="42788"/>
    <n v="39003"/>
    <n v="30745"/>
    <n v="55983"/>
    <n v="1.035107454593057"/>
    <m/>
    <s v="안전관리대행용역 진행"/>
    <s v="x"/>
    <m/>
    <m/>
    <m/>
    <m/>
    <s v="x"/>
    <s v="x"/>
  </r>
  <r>
    <n v="660"/>
    <x v="655"/>
    <n v="683"/>
    <x v="10"/>
    <n v="7"/>
    <x v="49"/>
    <x v="655"/>
    <s v="구로구 고척로 195"/>
    <s v="현대에코솔라"/>
    <n v="9"/>
    <n v="20"/>
    <n v="2.2222222222222223"/>
    <n v="0.69444444444444442"/>
    <m/>
    <n v="0"/>
    <n v="0"/>
    <n v="5.0457599999999996"/>
    <m/>
    <s v="-"/>
    <s v="-"/>
    <s v="-"/>
    <s v="-"/>
    <s v="-"/>
    <n v="10512"/>
    <n v="0"/>
    <n v="-40"/>
    <n v="0.88400000000000001"/>
    <n v="0.98"/>
    <n v="9106.7558399999998"/>
    <n v="0"/>
    <n v="14760"/>
    <n v="13680"/>
    <n v="14400"/>
    <n v="7560"/>
    <n v="8644"/>
    <n v="0.94918543462344551"/>
    <m/>
    <m/>
    <s v="x"/>
    <m/>
    <m/>
    <m/>
    <m/>
    <s v="ㅇ"/>
    <s v="ㅇ"/>
  </r>
  <r>
    <n v="662"/>
    <x v="656"/>
    <n v="718"/>
    <x v="10"/>
    <n v="7"/>
    <x v="49"/>
    <x v="656"/>
    <s v="성동구 행당도시개발구역 공공용시설 2블럭"/>
    <s v="㈜에너솔라"/>
    <n v="25.65"/>
    <n v="99"/>
    <n v="3.8596491228070176"/>
    <n v="1.2061403508771928"/>
    <s v="구조물"/>
    <n v="0"/>
    <n v="0"/>
    <n v="14.380416"/>
    <m/>
    <s v="-"/>
    <s v="-"/>
    <s v="-"/>
    <s v="-"/>
    <s v="-"/>
    <n v="29959.200000000001"/>
    <n v="20"/>
    <n v="90"/>
    <n v="0.86799999999999999"/>
    <n v="0.98"/>
    <n v="25484.493888000001"/>
    <n v="0"/>
    <n v="14540"/>
    <n v="36070"/>
    <n v="28655"/>
    <n v="21563"/>
    <n v="29996"/>
    <n v="1.1770294568857165"/>
    <m/>
    <m/>
    <s v="x"/>
    <m/>
    <m/>
    <m/>
    <m/>
    <s v="ㅇ"/>
    <s v="ㅇ"/>
  </r>
  <r>
    <n v="661"/>
    <x v="657"/>
    <n v="687"/>
    <x v="10"/>
    <n v="9"/>
    <x v="49"/>
    <x v="657"/>
    <s v="마포구 창전로 76"/>
    <s v="㈜에코스"/>
    <n v="23.45"/>
    <n v="73"/>
    <n v="3.1130063965884864"/>
    <n v="0.97281449893390193"/>
    <m/>
    <n v="0"/>
    <n v="0"/>
    <n v="13.147008000000001"/>
    <m/>
    <s v="-"/>
    <s v="-"/>
    <s v="-"/>
    <s v="-"/>
    <s v="-"/>
    <n v="27389.600000000002"/>
    <n v="30"/>
    <n v="20"/>
    <n v="0.99"/>
    <n v="0.98"/>
    <n v="26573.389920000001"/>
    <n v="0"/>
    <n v="0"/>
    <n v="16355"/>
    <n v="26608"/>
    <n v="16621"/>
    <n v="25658"/>
    <n v="0.96555238444339209"/>
    <m/>
    <m/>
    <s v="x"/>
    <m/>
    <m/>
    <m/>
    <m/>
    <s v="ㅇ"/>
    <s v="ㅇ"/>
  </r>
  <r>
    <n v="663"/>
    <x v="658"/>
    <n v="701"/>
    <x v="10"/>
    <n v="7"/>
    <x v="50"/>
    <x v="658"/>
    <s v="동대문구 서울시립대로 163"/>
    <s v="㈜에너솔라"/>
    <n v="20"/>
    <n v="60.347999999999999"/>
    <n v="3.0173999999999999"/>
    <n v="0.94293749999999987"/>
    <m/>
    <n v="0"/>
    <n v="0"/>
    <n v="11.2128"/>
    <m/>
    <s v="-"/>
    <s v="-"/>
    <s v="-"/>
    <s v="-"/>
    <s v="-"/>
    <n v="23360"/>
    <m/>
    <m/>
    <n v="1"/>
    <n v="0.98"/>
    <n v="22892.799999999999"/>
    <n v="0"/>
    <n v="11189"/>
    <n v="22033"/>
    <n v="26025"/>
    <n v="15531"/>
    <n v="24122"/>
    <n v="1.0536937377690803"/>
    <m/>
    <m/>
    <s v="x"/>
    <m/>
    <m/>
    <m/>
    <m/>
    <s v="ㅇ"/>
    <s v="ㅇ"/>
  </r>
  <r>
    <n v="664"/>
    <x v="659"/>
    <n v="716"/>
    <x v="10"/>
    <n v="5"/>
    <x v="27"/>
    <x v="659"/>
    <s v="용산구 효창원로 177-15"/>
    <s v="이엔에이치㈜"/>
    <n v="30"/>
    <n v="95"/>
    <n v="3.1666666666666665"/>
    <n v="0.98958333333333326"/>
    <m/>
    <n v="0"/>
    <n v="0"/>
    <n v="16.819199999999999"/>
    <m/>
    <s v="-"/>
    <s v="-"/>
    <s v="-"/>
    <s v="-"/>
    <s v="-"/>
    <n v="35040"/>
    <n v="30"/>
    <n v="0"/>
    <n v="1"/>
    <n v="0.98"/>
    <n v="34339.199999999997"/>
    <n v="0"/>
    <n v="27897"/>
    <n v="69090"/>
    <n v="42895"/>
    <n v="24110"/>
    <n v="39402"/>
    <n v="1.1474350013978194"/>
    <m/>
    <m/>
    <s v="x"/>
    <m/>
    <m/>
    <m/>
    <m/>
    <s v="ㅇ"/>
    <s v="ㅇ"/>
  </r>
  <r>
    <n v="665"/>
    <x v="660"/>
    <n v="684"/>
    <x v="10"/>
    <n v="7"/>
    <x v="30"/>
    <x v="660"/>
    <s v="영등포구 양화동 95"/>
    <s v="㈜한화에스테이트"/>
    <n v="21.4"/>
    <n v="158"/>
    <n v="7.3831775700934585"/>
    <n v="2.3072429906542058"/>
    <s v="구조물"/>
    <n v="0"/>
    <n v="0"/>
    <n v="11.997695999999999"/>
    <m/>
    <s v="-"/>
    <s v="-"/>
    <s v="-"/>
    <s v="-"/>
    <s v="-"/>
    <n v="24995.200000000001"/>
    <m/>
    <m/>
    <n v="1"/>
    <n v="0.98"/>
    <n v="24495.295999999998"/>
    <n v="0"/>
    <n v="9998"/>
    <n v="25541"/>
    <n v="22844"/>
    <n v="15481"/>
    <n v="23267"/>
    <n v="0.94985584170936332"/>
    <m/>
    <m/>
    <s v="x"/>
    <m/>
    <m/>
    <m/>
    <m/>
    <s v="ㅇ"/>
    <s v="ㅇ"/>
  </r>
  <r>
    <n v="666"/>
    <x v="661"/>
    <n v="650"/>
    <x v="10"/>
    <n v="8"/>
    <x v="84"/>
    <x v="661"/>
    <s v="성동구 옥수동 168-01"/>
    <s v="피앤에이치이앤씨㈜"/>
    <n v="9.92"/>
    <n v="26.4"/>
    <n v="2.661290322580645"/>
    <n v="0.83165322580645151"/>
    <m/>
    <n v="2.4"/>
    <n v="60.483870967741929"/>
    <n v="3.1615487999999998"/>
    <s v="안전관리"/>
    <s v="-"/>
    <n v="0.6"/>
    <n v="0.6"/>
    <n v="0.6"/>
    <n v="0.6"/>
    <n v="11586.56"/>
    <n v="20"/>
    <n v="-30"/>
    <n v="0.96599999999999997"/>
    <n v="0.98"/>
    <n v="10968.764620799999"/>
    <n v="0"/>
    <n v="4600"/>
    <n v="10800"/>
    <n v="8700"/>
    <n v="5282"/>
    <n v="9040"/>
    <n v="0.82415844559719198"/>
    <m/>
    <s v="연결통로 지붕위에 설치한 패널이 남동방향(30도)이고 주변 건물의 음영이 일부 발생"/>
    <s v="x"/>
    <m/>
    <m/>
    <m/>
    <m/>
    <s v="ㅇ"/>
    <s v="ㅇ"/>
  </r>
  <r>
    <n v="667"/>
    <x v="662"/>
    <n v="666"/>
    <x v="10"/>
    <n v="7"/>
    <x v="5"/>
    <x v="662"/>
    <s v="성동구 왕십리로 26길 29"/>
    <s v="㈜알티에스에너지"/>
    <n v="3"/>
    <n v="8.8000000000000007"/>
    <n v="2.9333333333333336"/>
    <n v="0.91666666666666674"/>
    <m/>
    <n v="0.03"/>
    <n v="2.5"/>
    <n v="1.6519200000000003"/>
    <m/>
    <s v="-"/>
    <s v="-"/>
    <s v="-"/>
    <n v="0.03"/>
    <s v="-"/>
    <n v="3504.0000000000005"/>
    <n v="35"/>
    <n v="0"/>
    <n v="1"/>
    <n v="0.98"/>
    <n v="3433.9200000000005"/>
    <n v="0"/>
    <n v="1779"/>
    <n v="3355"/>
    <n v="2812"/>
    <n v="1693"/>
    <n v="2840"/>
    <n v="0.82704314602553342"/>
    <m/>
    <m/>
    <s v="x"/>
    <m/>
    <m/>
    <m/>
    <m/>
    <s v="ㅇ"/>
    <s v="ㅇ"/>
  </r>
  <r>
    <n v="668"/>
    <x v="663"/>
    <n v="729"/>
    <x v="10"/>
    <n v="10"/>
    <x v="32"/>
    <x v="663"/>
    <s v="서울시 강서구 양천로255"/>
    <s v="㈜한진중공업"/>
    <n v="88.2"/>
    <n v="167"/>
    <n v="1.8934240362811792"/>
    <n v="0.5916950113378685"/>
    <m/>
    <n v="0"/>
    <n v="0"/>
    <n v="49.448447999999999"/>
    <m/>
    <s v="-"/>
    <s v="-"/>
    <s v="-"/>
    <s v="-"/>
    <s v="-"/>
    <n v="103017.60000000001"/>
    <n v="20"/>
    <n v="0"/>
    <n v="0.88400000000000001"/>
    <n v="0.98"/>
    <n v="89246.207232000001"/>
    <n v="0"/>
    <n v="10470"/>
    <n v="123691"/>
    <n v="124680"/>
    <n v="77665"/>
    <n v="121906"/>
    <n v="1.3659516049023712"/>
    <m/>
    <m/>
    <s v="x"/>
    <m/>
    <m/>
    <m/>
    <m/>
    <s v="ㅇ"/>
    <s v="ㅇ"/>
  </r>
  <r>
    <n v="669"/>
    <x v="664"/>
    <n v="726"/>
    <x v="10"/>
    <n v="9"/>
    <x v="58"/>
    <x v="664"/>
    <s v="중랑구 신내로 156"/>
    <s v="서웅"/>
    <n v="5.16"/>
    <n v="17"/>
    <n v="3.2945736434108528"/>
    <n v="1.0295542635658914"/>
    <m/>
    <n v="0"/>
    <n v="0"/>
    <n v="2.8929024000000001"/>
    <m/>
    <s v="-"/>
    <s v="-"/>
    <s v="-"/>
    <s v="-"/>
    <s v="-"/>
    <n v="6026.88"/>
    <n v="30"/>
    <n v="0"/>
    <n v="0.999"/>
    <n v="0.98"/>
    <n v="5900.4360575999999"/>
    <n v="0"/>
    <n v="5539"/>
    <n v="7775"/>
    <n v="7538"/>
    <n v="4624"/>
    <n v="7355"/>
    <n v="1.246518041751586"/>
    <m/>
    <s v="-"/>
    <s v="x"/>
    <m/>
    <m/>
    <m/>
    <m/>
    <s v="ㅇ"/>
    <s v="ㅇ"/>
  </r>
  <r>
    <n v="670"/>
    <x v="665"/>
    <n v="722"/>
    <x v="10"/>
    <n v="11"/>
    <x v="85"/>
    <x v="665"/>
    <s v="금천구 남부순환로128길 42"/>
    <s v="㈜에코스"/>
    <n v="6.12"/>
    <n v="16"/>
    <n v="2.6143790849673203"/>
    <n v="0.81699346405228757"/>
    <m/>
    <n v="0"/>
    <n v="0"/>
    <n v="3.4311168000000003"/>
    <m/>
    <s v="-"/>
    <s v="-"/>
    <s v="-"/>
    <s v="-"/>
    <s v="-"/>
    <n v="7148.1600000000008"/>
    <n v="15"/>
    <n v="-30"/>
    <n v="0.95199999999999996"/>
    <n v="0.98"/>
    <n v="6668.9473535999996"/>
    <n v="0"/>
    <s v="-"/>
    <n v="9573"/>
    <n v="8215"/>
    <n v="5147"/>
    <n v="8009.7"/>
    <n v="1.2010441191556627"/>
    <m/>
    <m/>
    <s v="x"/>
    <m/>
    <m/>
    <m/>
    <m/>
    <s v="ㅇ"/>
    <s v="ㅇ"/>
  </r>
  <r>
    <n v="671"/>
    <x v="666"/>
    <n v="670"/>
    <x v="10"/>
    <n v="6"/>
    <x v="33"/>
    <x v="666"/>
    <s v="종로구 삼일대로30길 47"/>
    <s v="케이디파워㈜"/>
    <n v="27.5"/>
    <n v="90"/>
    <n v="3.2727272727272729"/>
    <n v="1.0227272727272727"/>
    <m/>
    <n v="0"/>
    <n v="0"/>
    <n v="15.4176"/>
    <m/>
    <s v="-"/>
    <s v="-"/>
    <s v="-"/>
    <s v="-"/>
    <s v="-"/>
    <n v="32120"/>
    <n v="0"/>
    <n v="0"/>
    <n v="0.88400000000000001"/>
    <n v="0.98"/>
    <n v="27826.198400000001"/>
    <n v="0"/>
    <n v="10785"/>
    <n v="26275"/>
    <n v="16748"/>
    <n v="16224"/>
    <n v="22825"/>
    <n v="0.8202701523180399"/>
    <m/>
    <m/>
    <s v="x"/>
    <m/>
    <m/>
    <m/>
    <m/>
    <s v="ㅇ"/>
    <s v="ㅇ"/>
  </r>
  <r>
    <n v="673"/>
    <x v="667"/>
    <n v="686"/>
    <x v="10"/>
    <n v="8"/>
    <x v="33"/>
    <x v="667"/>
    <s v="종로구 신문로2가 154"/>
    <s v="LS산전㈜"/>
    <n v="5"/>
    <n v="44"/>
    <n v="8.8000000000000007"/>
    <n v="2.75"/>
    <s v="구조물"/>
    <n v="0"/>
    <n v="0"/>
    <n v="2.8031999999999999"/>
    <m/>
    <s v="-"/>
    <s v="-"/>
    <s v="-"/>
    <s v="-"/>
    <s v="-"/>
    <n v="5840"/>
    <n v="5"/>
    <n v="0"/>
    <n v="0.94199999999999995"/>
    <n v="0.98"/>
    <n v="5391.2543999999998"/>
    <n v="0"/>
    <n v="0"/>
    <s v="-"/>
    <s v="-"/>
    <n v="3400"/>
    <n v="5146.0989010989006"/>
    <n v="0.95452718779119394"/>
    <m/>
    <m/>
    <s v="x"/>
    <m/>
    <m/>
    <m/>
    <m/>
    <s v="ㅇ"/>
    <s v="ㅇ"/>
  </r>
  <r>
    <n v="672"/>
    <x v="668"/>
    <n v="665"/>
    <x v="10"/>
    <n v="10"/>
    <x v="33"/>
    <x v="668"/>
    <s v="종로구 이화동 2501"/>
    <s v="㈜텐코리아"/>
    <n v="32"/>
    <n v="98"/>
    <n v="3.0625"/>
    <n v="0.95703125"/>
    <m/>
    <n v="5.5"/>
    <n v="42.96875"/>
    <n v="12.440480000000001"/>
    <s v="수리비용"/>
    <s v="-"/>
    <s v="-"/>
    <s v="-"/>
    <n v="0.6"/>
    <n v="4.9000000000000004"/>
    <n v="37376"/>
    <m/>
    <m/>
    <n v="1"/>
    <n v="0.98"/>
    <n v="36628.479999999996"/>
    <n v="0"/>
    <n v="4908"/>
    <n v="37010"/>
    <n v="37232"/>
    <n v="17425"/>
    <n v="34705.61290322581"/>
    <n v="0.94750349736668882"/>
    <m/>
    <m/>
    <s v="ㅇ"/>
    <s v="인버터"/>
    <n v="5.5"/>
    <n v="2"/>
    <m/>
    <s v="ㅇ"/>
    <s v="ㅇ"/>
  </r>
  <r>
    <n v="674"/>
    <x v="669"/>
    <n v="724"/>
    <x v="10"/>
    <n v="6"/>
    <x v="34"/>
    <x v="669"/>
    <s v="용산구 효창원로 93길 49"/>
    <s v="㈜한국스카다"/>
    <n v="5.2"/>
    <n v="16"/>
    <n v="3.0769230769230766"/>
    <n v="0.96153846153846145"/>
    <m/>
    <n v="0"/>
    <n v="0"/>
    <n v="2.9153280000000001"/>
    <m/>
    <s v="-"/>
    <s v="-"/>
    <s v="-"/>
    <s v="-"/>
    <s v="-"/>
    <n v="6073.6"/>
    <m/>
    <m/>
    <n v="1"/>
    <n v="0.98"/>
    <n v="5952.1280000000006"/>
    <n v="0"/>
    <n v="3200"/>
    <n v="9000"/>
    <n v="8540"/>
    <n v="2982"/>
    <n v="7292"/>
    <n v="1.2251080621922108"/>
    <m/>
    <m/>
    <s v="x"/>
    <m/>
    <m/>
    <m/>
    <m/>
    <s v="ㅇ"/>
    <s v="ㅇ"/>
  </r>
  <r>
    <n v="676"/>
    <x v="670"/>
    <n v="714"/>
    <x v="10"/>
    <n v="9"/>
    <x v="55"/>
    <x v="670"/>
    <s v="성동구 무학로6길 9"/>
    <s v="㈜한국스카다"/>
    <n v="5"/>
    <n v="16"/>
    <n v="3.2"/>
    <n v="1"/>
    <m/>
    <n v="0"/>
    <n v="0"/>
    <n v="2.8031999999999999"/>
    <m/>
    <s v="-"/>
    <s v="-"/>
    <s v="-"/>
    <s v="-"/>
    <s v="-"/>
    <n v="5840"/>
    <m/>
    <m/>
    <n v="1"/>
    <n v="0.98"/>
    <n v="5723.2"/>
    <n v="0"/>
    <n v="2002"/>
    <n v="7054"/>
    <n v="5544"/>
    <n v="4032"/>
    <n v="6465"/>
    <n v="1.1296128040257198"/>
    <m/>
    <m/>
    <s v="x"/>
    <m/>
    <m/>
    <m/>
    <m/>
    <s v="ㅇ"/>
    <s v="ㅇ"/>
  </r>
  <r>
    <n v="677"/>
    <x v="671"/>
    <n v="648"/>
    <x v="10"/>
    <n v="11"/>
    <x v="55"/>
    <x v="671"/>
    <s v="성동구 행당로 12"/>
    <s v="㈜에너솔라"/>
    <n v="15.2"/>
    <n v="52"/>
    <n v="3.4210526315789473"/>
    <n v="1.069078947368421"/>
    <m/>
    <n v="0"/>
    <n v="0"/>
    <n v="8.5217279999999995"/>
    <s v="안전관리"/>
    <s v="-"/>
    <s v="-"/>
    <s v="-"/>
    <s v="-"/>
    <s v="-"/>
    <n v="17753.599999999999"/>
    <m/>
    <m/>
    <n v="1"/>
    <n v="0.98"/>
    <n v="17398.527999999998"/>
    <n v="0"/>
    <n v="1649"/>
    <n v="16644"/>
    <n v="16416"/>
    <n v="6818"/>
    <n v="10747"/>
    <n v="0.61769593381692989"/>
    <s v="주변환경 변화에 따른 음영"/>
    <s v="태양광 설치 후 인근 아파트 신축으로 음영 발생"/>
    <s v="x"/>
    <m/>
    <m/>
    <m/>
    <m/>
    <s v="ㅇ"/>
    <s v="ㅇ"/>
  </r>
  <r>
    <n v="675"/>
    <x v="672"/>
    <n v="709"/>
    <x v="10"/>
    <n v="12"/>
    <x v="55"/>
    <x v="672"/>
    <s v="성동구 금호동4가 56"/>
    <s v="㈜에너솔라"/>
    <n v="45.54"/>
    <n v="128"/>
    <n v="2.8107158541941151"/>
    <n v="0.87834870443566093"/>
    <m/>
    <n v="0"/>
    <n v="0"/>
    <n v="25.531545600000001"/>
    <m/>
    <s v="-"/>
    <s v="-"/>
    <s v="-"/>
    <s v="-"/>
    <s v="-"/>
    <n v="53190.720000000001"/>
    <m/>
    <m/>
    <n v="1"/>
    <n v="0.98"/>
    <n v="52126.905599999998"/>
    <n v="0"/>
    <n v="0"/>
    <n v="52090"/>
    <n v="51226"/>
    <n v="37546"/>
    <n v="57381"/>
    <n v="1.1007942892355382"/>
    <m/>
    <m/>
    <s v="x"/>
    <m/>
    <m/>
    <m/>
    <m/>
    <s v="ㅇ"/>
    <s v="ㅇ"/>
  </r>
  <r>
    <n v="679"/>
    <x v="673"/>
    <n v="696"/>
    <x v="10"/>
    <n v="3"/>
    <x v="13"/>
    <x v="673"/>
    <s v="광진구 아차산로24길 17"/>
    <s v="㈜한국스카다"/>
    <n v="31.35"/>
    <n v="93"/>
    <n v="2.9665071770334928"/>
    <n v="0.92703349282296643"/>
    <m/>
    <n v="0"/>
    <n v="0"/>
    <n v="17.576063999999999"/>
    <m/>
    <s v="-"/>
    <s v="-"/>
    <m/>
    <m/>
    <s v="-"/>
    <n v="36616.800000000003"/>
    <m/>
    <m/>
    <n v="1"/>
    <n v="0.98"/>
    <n v="35884.464"/>
    <n v="0"/>
    <n v="18000"/>
    <n v="36992"/>
    <n v="39479"/>
    <n v="23057"/>
    <n v="36493"/>
    <n v="1.0169582023016981"/>
    <m/>
    <m/>
    <s v="x"/>
    <m/>
    <m/>
    <m/>
    <m/>
    <s v="ㅇ"/>
    <s v="ㅇ"/>
  </r>
  <r>
    <n v="678"/>
    <x v="674"/>
    <n v="695"/>
    <x v="10"/>
    <n v="9"/>
    <x v="13"/>
    <x v="674"/>
    <s v="광진구 군자로 88"/>
    <s v="㈜한국스카다"/>
    <n v="30"/>
    <n v="96"/>
    <n v="3.2"/>
    <n v="1"/>
    <m/>
    <n v="0"/>
    <n v="0"/>
    <n v="16.819199999999999"/>
    <m/>
    <s v="-"/>
    <s v="-"/>
    <s v="-"/>
    <s v="-"/>
    <s v="-"/>
    <n v="35040"/>
    <m/>
    <m/>
    <n v="1"/>
    <n v="0.98"/>
    <n v="34339.199999999997"/>
    <n v="0"/>
    <n v="7878"/>
    <n v="37085"/>
    <n v="31107"/>
    <n v="15129"/>
    <n v="34708"/>
    <n v="1.0107399124033176"/>
    <m/>
    <m/>
    <s v="x"/>
    <m/>
    <m/>
    <m/>
    <m/>
    <s v="ㅇ"/>
    <s v="ㅇ"/>
  </r>
  <r>
    <n v="681"/>
    <x v="675"/>
    <n v="699"/>
    <x v="10"/>
    <n v="7"/>
    <x v="35"/>
    <x v="675"/>
    <s v="동대문구 휘경로 28 (이문동 306-14)"/>
    <s v="영동테크원㈜"/>
    <n v="9.4499999999999993"/>
    <n v="26"/>
    <n v="2.7513227513227516"/>
    <n v="0.85978835978835988"/>
    <m/>
    <n v="0"/>
    <n v="0"/>
    <n v="5.2980479999999988"/>
    <m/>
    <s v="-"/>
    <s v="-"/>
    <s v="-"/>
    <s v="-"/>
    <s v="-"/>
    <n v="11037.599999999999"/>
    <n v="11"/>
    <n v="-60"/>
    <n v="0.91100000000000003"/>
    <n v="0.98"/>
    <n v="9854.1485279999997"/>
    <n v="0"/>
    <n v="4288"/>
    <n v="12636"/>
    <n v="11424"/>
    <n v="3977"/>
    <n v="10194"/>
    <n v="1.0344881621211952"/>
    <m/>
    <m/>
    <s v="x"/>
    <m/>
    <m/>
    <m/>
    <m/>
    <s v="ㅇ"/>
    <s v="ㅇ"/>
  </r>
  <r>
    <n v="680"/>
    <x v="676"/>
    <n v="713"/>
    <x v="10"/>
    <n v="9"/>
    <x v="35"/>
    <x v="676"/>
    <s v="동대문구 사가정로 30 (답십리동 477-9)"/>
    <s v="삼광산전"/>
    <n v="36"/>
    <n v="109"/>
    <n v="3.0277777777777777"/>
    <n v="0.94618055555555547"/>
    <m/>
    <n v="0"/>
    <n v="0"/>
    <n v="20.183039999999998"/>
    <m/>
    <s v="-"/>
    <s v="-"/>
    <s v="-"/>
    <s v="-"/>
    <s v="-"/>
    <n v="42048"/>
    <m/>
    <n v="45"/>
    <n v="0.94299999999999995"/>
    <n v="0.98"/>
    <n v="38858.238720000001"/>
    <n v="0"/>
    <s v="-"/>
    <n v="42424"/>
    <n v="42244"/>
    <n v="27193"/>
    <n v="43520"/>
    <n v="1.1199684142554982"/>
    <m/>
    <m/>
    <s v="x"/>
    <m/>
    <m/>
    <m/>
    <m/>
    <s v="ㅇ"/>
    <s v="ㅇ"/>
  </r>
  <r>
    <n v="682"/>
    <x v="677"/>
    <n v="664"/>
    <x v="10"/>
    <n v="5"/>
    <x v="7"/>
    <x v="677"/>
    <s v="성북구 정릉로8가길 17-3"/>
    <s v="㈜한국스카다"/>
    <n v="3"/>
    <n v="8"/>
    <n v="2.6666666666666665"/>
    <n v="0.83333333333333326"/>
    <m/>
    <n v="0.157"/>
    <n v="13.083333333333334"/>
    <n v="1.5249200000000003"/>
    <m/>
    <s v="-"/>
    <s v="-"/>
    <s v="-"/>
    <s v="-"/>
    <n v="0.157"/>
    <n v="3504.0000000000005"/>
    <m/>
    <m/>
    <n v="1"/>
    <n v="0.98"/>
    <n v="3433.9200000000005"/>
    <n v="0"/>
    <n v="1338"/>
    <n v="5352"/>
    <n v="4918"/>
    <n v="2725"/>
    <n v="5937"/>
    <n v="1.7289278725188704"/>
    <m/>
    <m/>
    <s v="x"/>
    <m/>
    <m/>
    <m/>
    <m/>
    <s v="ㅇ"/>
    <s v="ㅇ"/>
  </r>
  <r>
    <n v="684"/>
    <x v="678"/>
    <n v="661"/>
    <x v="10"/>
    <n v="5"/>
    <x v="7"/>
    <x v="678"/>
    <s v="성북구 화랑로18길 28"/>
    <s v="㈜코텍에너지"/>
    <n v="3"/>
    <n v="13"/>
    <n v="4.333333333333333"/>
    <n v="1.3541666666666665"/>
    <s v="구조물"/>
    <n v="0.157"/>
    <n v="13.083333333333334"/>
    <n v="1.5249200000000003"/>
    <m/>
    <s v="-"/>
    <s v="-"/>
    <s v="-"/>
    <s v="-"/>
    <n v="0.157"/>
    <n v="3504.0000000000005"/>
    <m/>
    <m/>
    <n v="1"/>
    <n v="0.98"/>
    <n v="3433.9200000000005"/>
    <n v="0"/>
    <n v="1495"/>
    <n v="3991"/>
    <n v="3177"/>
    <n v="2441"/>
    <n v="3801"/>
    <n v="1.1068982387475537"/>
    <m/>
    <m/>
    <s v="x"/>
    <m/>
    <m/>
    <m/>
    <m/>
    <s v="ㅇ"/>
    <s v="ㅇ"/>
  </r>
  <r>
    <n v="686"/>
    <x v="679"/>
    <n v="663"/>
    <x v="10"/>
    <n v="5"/>
    <x v="7"/>
    <x v="679"/>
    <s v="성북구 화랑로32길 88"/>
    <s v="㈜한국스카다"/>
    <n v="3"/>
    <n v="8"/>
    <n v="2.6666666666666665"/>
    <n v="0.83333333333333326"/>
    <m/>
    <n v="0.157"/>
    <n v="13.083333333333334"/>
    <n v="1.5249200000000003"/>
    <m/>
    <s v="-"/>
    <m/>
    <s v="-"/>
    <s v="-"/>
    <n v="0.157"/>
    <n v="3504.0000000000005"/>
    <m/>
    <m/>
    <n v="1"/>
    <n v="0.98"/>
    <n v="3433.9200000000005"/>
    <n v="0"/>
    <n v="2619"/>
    <n v="5100"/>
    <n v="3193"/>
    <n v="2060"/>
    <n v="4304"/>
    <n v="1.2533780635541887"/>
    <m/>
    <m/>
    <s v="x"/>
    <m/>
    <m/>
    <m/>
    <m/>
    <s v="ㅇ"/>
    <s v="ㅇ"/>
  </r>
  <r>
    <n v="685"/>
    <x v="680"/>
    <n v="660"/>
    <x v="10"/>
    <n v="5"/>
    <x v="7"/>
    <x v="680"/>
    <s v="성북구 보문로 168"/>
    <s v="㈜한국스카다"/>
    <n v="5.04"/>
    <n v="14"/>
    <n v="2.7777777777777777"/>
    <n v="0.86805555555555547"/>
    <m/>
    <n v="0.157"/>
    <n v="7.787698412698413"/>
    <n v="2.6686255999999999"/>
    <m/>
    <s v="-"/>
    <s v="-"/>
    <s v="-"/>
    <s v="-"/>
    <n v="0.157"/>
    <n v="5886.72"/>
    <m/>
    <m/>
    <n v="1"/>
    <n v="0.98"/>
    <n v="5768.9856"/>
    <n v="0"/>
    <n v="3120"/>
    <n v="5700"/>
    <n v="6549"/>
    <n v="3583"/>
    <n v="5954"/>
    <n v="1.0320705255357199"/>
    <m/>
    <m/>
    <s v="x"/>
    <m/>
    <m/>
    <m/>
    <m/>
    <s v="ㅇ"/>
    <s v="ㅇ"/>
  </r>
  <r>
    <n v="683"/>
    <x v="681"/>
    <n v="662"/>
    <x v="10"/>
    <n v="6"/>
    <x v="7"/>
    <x v="681"/>
    <s v="성북구 정릉동 716-172"/>
    <s v="헥스타워시스템"/>
    <n v="3"/>
    <n v="9"/>
    <n v="3"/>
    <n v="0.9375"/>
    <m/>
    <n v="0.157"/>
    <n v="13.083333333333334"/>
    <n v="1.5249200000000003"/>
    <m/>
    <s v="-"/>
    <s v="-"/>
    <s v="-"/>
    <s v="-"/>
    <n v="0.157"/>
    <n v="3504.0000000000005"/>
    <m/>
    <m/>
    <n v="1"/>
    <n v="0.98"/>
    <n v="3433.9200000000005"/>
    <n v="0"/>
    <n v="1241"/>
    <n v="4137"/>
    <n v="3713"/>
    <n v="2639"/>
    <n v="4173"/>
    <n v="1.215229242381884"/>
    <m/>
    <m/>
    <s v="x"/>
    <m/>
    <m/>
    <m/>
    <m/>
    <s v="ㅇ"/>
    <s v="ㅇ"/>
  </r>
  <r>
    <n v="689"/>
    <x v="682"/>
    <n v="675"/>
    <x v="10"/>
    <n v="3"/>
    <x v="37"/>
    <x v="682"/>
    <s v="강북구 삼양로19길 34"/>
    <s v="케이디파워㈜"/>
    <n v="41.201999999999998"/>
    <n v="126"/>
    <n v="3.0581039755351682"/>
    <n v="0.95565749235474007"/>
    <m/>
    <n v="0"/>
    <n v="0"/>
    <n v="23.099489279999997"/>
    <m/>
    <s v="-"/>
    <s v="-"/>
    <s v="-"/>
    <s v="-"/>
    <s v="-"/>
    <n v="48123.935999999994"/>
    <m/>
    <m/>
    <n v="1"/>
    <n v="0.98"/>
    <n v="47161.457279999995"/>
    <n v="0"/>
    <n v="38888"/>
    <n v="44810.7"/>
    <n v="42784.9"/>
    <n v="26049"/>
    <n v="41870"/>
    <n v="0.88780123462715876"/>
    <m/>
    <m/>
    <s v="x"/>
    <m/>
    <m/>
    <m/>
    <m/>
    <s v="x"/>
    <s v="ㅇ"/>
  </r>
  <r>
    <n v="687"/>
    <x v="683"/>
    <n v="728"/>
    <x v="10"/>
    <n v="9"/>
    <x v="37"/>
    <x v="683"/>
    <s v="강북구 오현로 145"/>
    <s v="(주)파랑이엔지"/>
    <n v="34.79"/>
    <n v="100"/>
    <n v="2.8743891922966371"/>
    <n v="0.89824662259269905"/>
    <m/>
    <n v="0"/>
    <n v="0"/>
    <n v="19.504665600000003"/>
    <m/>
    <s v="-"/>
    <s v="-"/>
    <s v="-"/>
    <s v="-"/>
    <s v="-"/>
    <n v="40634.720000000001"/>
    <m/>
    <m/>
    <n v="1"/>
    <n v="0.98"/>
    <n v="39822.025600000001"/>
    <n v="0"/>
    <n v="7548"/>
    <n v="48957"/>
    <n v="46295"/>
    <n v="37794"/>
    <n v="52896.399999999994"/>
    <n v="1.3283201746522908"/>
    <m/>
    <m/>
    <s v="x"/>
    <m/>
    <m/>
    <m/>
    <m/>
    <s v="ㅇ"/>
    <s v="ㅇ"/>
  </r>
  <r>
    <n v="690"/>
    <x v="684"/>
    <n v="725"/>
    <x v="10"/>
    <n v="10"/>
    <x v="37"/>
    <x v="684"/>
    <s v="강북구 삼양로51길 22"/>
    <s v="㈜에이스쏠라"/>
    <n v="3"/>
    <n v="11"/>
    <n v="3.6666666666666665"/>
    <n v="1.1458333333333333"/>
    <s v="구조물"/>
    <n v="0"/>
    <n v="0"/>
    <n v="1.6819200000000003"/>
    <m/>
    <s v="-"/>
    <s v="-"/>
    <s v="-"/>
    <s v="-"/>
    <s v="-"/>
    <n v="3504.0000000000005"/>
    <m/>
    <m/>
    <n v="1"/>
    <n v="0.98"/>
    <n v="3433.9200000000005"/>
    <n v="0"/>
    <n v="1326"/>
    <n v="3533"/>
    <n v="3623"/>
    <n v="2452"/>
    <n v="4228"/>
    <n v="1.2312459230267447"/>
    <m/>
    <m/>
    <s v="x"/>
    <m/>
    <m/>
    <m/>
    <m/>
    <s v="ㅇ"/>
    <s v="ㅇ"/>
  </r>
  <r>
    <n v="688"/>
    <x v="685"/>
    <n v="668"/>
    <x v="10"/>
    <n v="12"/>
    <x v="37"/>
    <x v="685"/>
    <s v="강북구 오패산로 290"/>
    <s v="유니테스트"/>
    <n v="80"/>
    <n v="249"/>
    <n v="3.1124999999999998"/>
    <n v="0.97265624999999989"/>
    <m/>
    <n v="0"/>
    <n v="0"/>
    <n v="44.851199999999999"/>
    <m/>
    <s v="-"/>
    <s v="-"/>
    <s v="-"/>
    <s v="-"/>
    <s v="-"/>
    <n v="93440"/>
    <m/>
    <m/>
    <n v="1"/>
    <n v="0.98"/>
    <n v="91571.199999999997"/>
    <n v="0"/>
    <n v="400"/>
    <n v="151600"/>
    <n v="90644"/>
    <n v="49176"/>
    <n v="73784"/>
    <n v="0.80575552138663686"/>
    <m/>
    <m/>
    <s v="x"/>
    <m/>
    <m/>
    <m/>
    <m/>
    <s v="ㅇ"/>
    <s v="ㅇ"/>
  </r>
  <r>
    <n v="692"/>
    <x v="686"/>
    <n v="653"/>
    <x v="10"/>
    <n v="1"/>
    <x v="14"/>
    <x v="686"/>
    <s v="도봉구 도봉동 416일대"/>
    <s v="이엔에이치㈜"/>
    <n v="10.1"/>
    <n v="60"/>
    <n v="5.9405940594059405"/>
    <n v="1.8564356435643563"/>
    <s v="BIPV"/>
    <n v="1.1000000000000001"/>
    <n v="27.227722772277232"/>
    <n v="4.5624640000000003"/>
    <s v="수리비용"/>
    <s v="-"/>
    <s v="-"/>
    <s v="-"/>
    <n v="1.1000000000000001"/>
    <s v="-"/>
    <n v="11796.8"/>
    <n v="0"/>
    <n v="-10"/>
    <n v="0.88400000000000001"/>
    <n v="0.98"/>
    <n v="10219.803775999999"/>
    <n v="0"/>
    <n v="10677"/>
    <n v="10479"/>
    <n v="9942"/>
    <n v="6258"/>
    <n v="9225"/>
    <n v="0.90265920972610281"/>
    <m/>
    <m/>
    <s v="ㅇ"/>
    <s v="모듈"/>
    <n v="1.1000000000000001"/>
    <n v="1"/>
    <m/>
    <s v="ㅇ"/>
    <s v="ㅇ"/>
  </r>
  <r>
    <n v="697"/>
    <x v="687"/>
    <n v="679"/>
    <x v="10"/>
    <n v="1"/>
    <x v="14"/>
    <x v="687"/>
    <s v="도봉구 방학로5길 34"/>
    <s v="엘제이테크놀로지"/>
    <n v="20"/>
    <n v="60"/>
    <n v="3"/>
    <n v="0.9375"/>
    <m/>
    <n v="0"/>
    <n v="0"/>
    <n v="11.2128"/>
    <m/>
    <s v="-"/>
    <s v="-"/>
    <s v="-"/>
    <s v="-"/>
    <s v="-"/>
    <n v="23360"/>
    <m/>
    <m/>
    <n v="1"/>
    <n v="0.98"/>
    <n v="22892.799999999999"/>
    <n v="0"/>
    <n v="0"/>
    <n v="24781"/>
    <n v="24146"/>
    <n v="14942"/>
    <n v="21246"/>
    <n v="0.92806471903830023"/>
    <m/>
    <m/>
    <s v="x"/>
    <m/>
    <m/>
    <m/>
    <m/>
    <s v="ㅇ"/>
    <s v="ㅇ"/>
  </r>
  <r>
    <n v="698"/>
    <x v="688"/>
    <n v="721"/>
    <x v="10"/>
    <n v="3"/>
    <x v="14"/>
    <x v="688"/>
    <s v="도봉구 덕릉로 66길 84-1"/>
    <s v="에스피브이㈜"/>
    <n v="17.420000000000002"/>
    <n v="44"/>
    <n v="2.525832376578645"/>
    <n v="0.78932261768082657"/>
    <m/>
    <n v="0"/>
    <n v="0"/>
    <n v="9.7663488000000012"/>
    <m/>
    <s v="-"/>
    <s v="-"/>
    <s v="-"/>
    <s v="-"/>
    <s v="-"/>
    <n v="20346.560000000001"/>
    <m/>
    <m/>
    <n v="1"/>
    <n v="0.98"/>
    <n v="19939.628800000002"/>
    <n v="0"/>
    <n v="22638"/>
    <n v="23434"/>
    <n v="18491"/>
    <n v="12653"/>
    <n v="23819"/>
    <n v="1.1945558384717772"/>
    <m/>
    <m/>
    <s v="x"/>
    <m/>
    <m/>
    <m/>
    <m/>
    <s v="x"/>
    <s v="x"/>
  </r>
  <r>
    <n v="691"/>
    <x v="689"/>
    <n v="712"/>
    <x v="10"/>
    <n v="9"/>
    <x v="14"/>
    <x v="689"/>
    <s v="도봉구 도봉동 353-3"/>
    <s v="㈜에스피브이"/>
    <n v="3"/>
    <n v="10"/>
    <n v="3.3333333333333335"/>
    <n v="1.0416666666666667"/>
    <m/>
    <n v="0"/>
    <n v="0"/>
    <n v="1.6819200000000003"/>
    <m/>
    <s v="-"/>
    <s v="-"/>
    <s v="-"/>
    <s v="-"/>
    <s v="-"/>
    <n v="3504.0000000000005"/>
    <m/>
    <m/>
    <n v="1"/>
    <n v="0.98"/>
    <n v="3433.9200000000005"/>
    <n v="0"/>
    <n v="828"/>
    <n v="4063"/>
    <n v="3921"/>
    <n v="2420"/>
    <n v="3842"/>
    <n v="1.118837946137359"/>
    <m/>
    <m/>
    <s v="x"/>
    <m/>
    <m/>
    <m/>
    <m/>
    <s v="ㅇ"/>
    <s v="ㅇ"/>
  </r>
  <r>
    <n v="694"/>
    <x v="690"/>
    <n v="715"/>
    <x v="10"/>
    <n v="9"/>
    <x v="14"/>
    <x v="690"/>
    <s v="도봉구 마들로 668"/>
    <s v="㈜한국스카다"/>
    <n v="15"/>
    <n v="48"/>
    <n v="3.2"/>
    <n v="1"/>
    <m/>
    <n v="0"/>
    <n v="0"/>
    <n v="8.4095999999999993"/>
    <m/>
    <s v="-"/>
    <s v="-"/>
    <s v="-"/>
    <s v="-"/>
    <s v="-"/>
    <n v="17520"/>
    <m/>
    <m/>
    <n v="1"/>
    <n v="0.98"/>
    <n v="17169.599999999999"/>
    <n v="0"/>
    <n v="5841"/>
    <n v="20328"/>
    <n v="20436"/>
    <n v="14241"/>
    <n v="19547"/>
    <n v="1.1384656602366976"/>
    <m/>
    <m/>
    <s v="x"/>
    <m/>
    <m/>
    <m/>
    <m/>
    <s v="ㅇ"/>
    <s v="ㅇ"/>
  </r>
  <r>
    <n v="696"/>
    <x v="691"/>
    <n v="719"/>
    <x v="10"/>
    <n v="9"/>
    <x v="14"/>
    <x v="691"/>
    <s v="도봉구 시루봉로17길 42"/>
    <s v="한국스카다"/>
    <n v="8"/>
    <n v="21.6"/>
    <n v="2.7"/>
    <n v="0.84375"/>
    <m/>
    <n v="0"/>
    <n v="0"/>
    <n v="4.4851200000000002"/>
    <m/>
    <s v="-"/>
    <s v="-"/>
    <s v="-"/>
    <s v="-"/>
    <s v="-"/>
    <n v="9344"/>
    <m/>
    <m/>
    <n v="1"/>
    <n v="0.98"/>
    <n v="9157.119999999999"/>
    <n v="0"/>
    <n v="4304"/>
    <n v="11470"/>
    <n v="12844"/>
    <n v="6671"/>
    <n v="10910"/>
    <n v="1.1914226306961142"/>
    <m/>
    <s v="2021년 누적발전량의 각 인버터별 표시가  13256kWh, 13326kWh, 12821kWh"/>
    <s v="x"/>
    <m/>
    <m/>
    <m/>
    <m/>
    <s v="ㅇ"/>
    <s v="ㅇ"/>
  </r>
  <r>
    <n v="693"/>
    <x v="692"/>
    <n v="705"/>
    <x v="10"/>
    <n v="10"/>
    <x v="14"/>
    <x v="692"/>
    <s v="도봉구 도봉동 282-26"/>
    <s v="현대SWD산업"/>
    <n v="3"/>
    <n v="7"/>
    <n v="2.3333333333333335"/>
    <n v="0.72916666666666663"/>
    <m/>
    <n v="0"/>
    <n v="0"/>
    <n v="1.6819200000000003"/>
    <m/>
    <s v="-"/>
    <s v="-"/>
    <s v="-"/>
    <s v="-"/>
    <s v="-"/>
    <n v="3504.0000000000005"/>
    <m/>
    <m/>
    <n v="1"/>
    <n v="0.98"/>
    <n v="3433.9200000000005"/>
    <n v="0"/>
    <n v="0"/>
    <n v="3789"/>
    <n v="3684"/>
    <n v="2319"/>
    <n v="3702"/>
    <n v="1.0780682135868045"/>
    <m/>
    <s v="정상작동 중이며 양호"/>
    <s v="x"/>
    <m/>
    <m/>
    <m/>
    <m/>
    <s v="ㅇ"/>
    <s v="ㅇ"/>
  </r>
  <r>
    <n v="695"/>
    <x v="693"/>
    <n v="702"/>
    <x v="10"/>
    <n v="10"/>
    <x v="14"/>
    <x v="693"/>
    <s v="도봉구 도봉동 636-22"/>
    <s v="이엔에이치㈜"/>
    <n v="45"/>
    <n v="144"/>
    <n v="3.2"/>
    <n v="1"/>
    <m/>
    <n v="0"/>
    <n v="0"/>
    <n v="25.2288"/>
    <m/>
    <s v="-"/>
    <s v="-"/>
    <s v="-"/>
    <s v="-"/>
    <s v="-"/>
    <n v="52560"/>
    <m/>
    <m/>
    <n v="1"/>
    <n v="0.98"/>
    <n v="51508.799999999996"/>
    <n v="0"/>
    <n v="0"/>
    <n v="55070"/>
    <n v="55708"/>
    <n v="35068"/>
    <n v="54968"/>
    <n v="1.067157456589942"/>
    <m/>
    <m/>
    <s v="x"/>
    <m/>
    <m/>
    <m/>
    <m/>
    <s v="ㅇ"/>
    <s v="ㅇ"/>
  </r>
  <r>
    <n v="705"/>
    <x v="694"/>
    <n v="681"/>
    <x v="10"/>
    <n v="1"/>
    <x v="38"/>
    <x v="694"/>
    <s v="노원구 상계로 283"/>
    <s v="(주)삼광산전"/>
    <n v="33"/>
    <n v="99"/>
    <n v="3"/>
    <n v="0.9375"/>
    <m/>
    <n v="0"/>
    <n v="0"/>
    <n v="18.50112"/>
    <m/>
    <s v="-"/>
    <s v="-"/>
    <s v="-"/>
    <s v="-"/>
    <s v="-"/>
    <n v="38544"/>
    <m/>
    <m/>
    <n v="1"/>
    <n v="0.98"/>
    <n v="37773.120000000003"/>
    <n v="0"/>
    <n v="0"/>
    <s v="-"/>
    <n v="33483"/>
    <n v="19102"/>
    <n v="35098"/>
    <n v="0.92917926822036401"/>
    <m/>
    <m/>
    <s v="x"/>
    <m/>
    <m/>
    <m/>
    <m/>
    <s v="ㅇ"/>
    <s v="ㅇ"/>
  </r>
  <r>
    <n v="700"/>
    <x v="695"/>
    <n v="720"/>
    <x v="10"/>
    <n v="3"/>
    <x v="38"/>
    <x v="695"/>
    <s v="노원구 공릉동 406-1"/>
    <s v="㈜코텍에너지"/>
    <n v="15"/>
    <n v="42"/>
    <n v="2.8"/>
    <n v="0.87499999999999989"/>
    <s v="구조물"/>
    <n v="0"/>
    <n v="0"/>
    <n v="8.4095999999999993"/>
    <m/>
    <s v="-"/>
    <s v="-"/>
    <s v="-"/>
    <s v="-"/>
    <s v="-"/>
    <n v="17520"/>
    <m/>
    <m/>
    <n v="1"/>
    <n v="0.98"/>
    <n v="17169.599999999999"/>
    <n v="0"/>
    <n v="15755"/>
    <n v="20628"/>
    <n v="20363"/>
    <n v="11031"/>
    <n v="20487"/>
    <n v="1.193213586804585"/>
    <m/>
    <m/>
    <s v="x"/>
    <m/>
    <m/>
    <m/>
    <m/>
    <s v="ㅇ"/>
    <s v="ㅇ"/>
  </r>
  <r>
    <n v="709"/>
    <x v="696"/>
    <n v="691"/>
    <x v="10"/>
    <n v="3"/>
    <x v="38"/>
    <x v="696"/>
    <s v="노원구상계로23길17"/>
    <s v="-"/>
    <n v="6"/>
    <n v="16"/>
    <n v="2.6666666666666665"/>
    <n v="0.83333333333333326"/>
    <m/>
    <n v="0"/>
    <n v="0"/>
    <n v="3.3638400000000006"/>
    <m/>
    <s v="-"/>
    <s v="-"/>
    <s v="-"/>
    <s v="-"/>
    <s v="-"/>
    <n v="7008.0000000000009"/>
    <m/>
    <m/>
    <n v="1"/>
    <n v="0.98"/>
    <n v="6867.8400000000011"/>
    <n v="0"/>
    <n v="0"/>
    <s v="-"/>
    <n v="6984"/>
    <n v="4011"/>
    <n v="6711"/>
    <n v="0.97716312552418216"/>
    <m/>
    <m/>
    <s v="x"/>
    <m/>
    <m/>
    <m/>
    <m/>
    <s v="ㅇ"/>
    <s v="ㅇ"/>
  </r>
  <r>
    <n v="703"/>
    <x v="697"/>
    <n v="698"/>
    <x v="10"/>
    <n v="4"/>
    <x v="38"/>
    <x v="697"/>
    <s v="노원구 하계동 산16-26"/>
    <s v="-"/>
    <n v="5"/>
    <n v="11"/>
    <n v="2.2000000000000002"/>
    <n v="0.6875"/>
    <m/>
    <n v="0"/>
    <n v="0"/>
    <n v="2.8031999999999999"/>
    <m/>
    <s v="-"/>
    <s v="-"/>
    <s v="-"/>
    <s v="-"/>
    <s v="-"/>
    <n v="5840"/>
    <m/>
    <m/>
    <n v="1"/>
    <n v="0.98"/>
    <n v="5723.2"/>
    <n v="0"/>
    <n v="0"/>
    <s v="-"/>
    <n v="6050"/>
    <n v="3551"/>
    <n v="5914"/>
    <n v="1.0333379927313391"/>
    <m/>
    <m/>
    <s v="x"/>
    <m/>
    <m/>
    <m/>
    <m/>
    <s v="ㅇ"/>
    <s v="ㅇ"/>
  </r>
  <r>
    <n v="708"/>
    <x v="698"/>
    <n v="710"/>
    <x v="10"/>
    <n v="5"/>
    <x v="38"/>
    <x v="698"/>
    <s v="노원구 덕릉로 450"/>
    <s v="한화큐셀코리아㈜"/>
    <n v="45.2"/>
    <n v="135"/>
    <n v="2.9867256637168138"/>
    <n v="0.93335176991150426"/>
    <m/>
    <n v="0"/>
    <n v="0"/>
    <n v="25.340928000000005"/>
    <m/>
    <s v="-"/>
    <s v="-"/>
    <s v="-"/>
    <s v="-"/>
    <s v="-"/>
    <n v="52793.600000000006"/>
    <m/>
    <m/>
    <n v="1"/>
    <n v="0.98"/>
    <n v="51737.728000000003"/>
    <n v="0"/>
    <n v="22431"/>
    <n v="58395"/>
    <n v="59011"/>
    <n v="33193"/>
    <n v="57096"/>
    <n v="1.103566047585236"/>
    <m/>
    <m/>
    <s v="x"/>
    <m/>
    <m/>
    <m/>
    <m/>
    <s v="ㅇ"/>
    <s v="ㅇ"/>
  </r>
  <r>
    <n v="704"/>
    <x v="699"/>
    <n v="703"/>
    <x v="10"/>
    <n v="5"/>
    <x v="38"/>
    <x v="699"/>
    <s v="노원구 한글비석로 487"/>
    <s v="이레산업이엔지㈜"/>
    <n v="6"/>
    <n v="16"/>
    <n v="2.6666666666666665"/>
    <n v="0.83333333333333326"/>
    <m/>
    <n v="0"/>
    <n v="0"/>
    <n v="3.3638400000000006"/>
    <m/>
    <s v="-"/>
    <s v="-"/>
    <s v="-"/>
    <s v="-"/>
    <s v="-"/>
    <n v="7008.0000000000009"/>
    <m/>
    <m/>
    <n v="1"/>
    <n v="0.98"/>
    <n v="6867.8400000000011"/>
    <n v="0"/>
    <n v="0"/>
    <s v="-"/>
    <n v="7545"/>
    <n v="4360"/>
    <n v="7362"/>
    <n v="1.0719527537042213"/>
    <m/>
    <m/>
    <s v="x"/>
    <m/>
    <m/>
    <m/>
    <m/>
    <s v="ㅇ"/>
    <s v="ㅇ"/>
  </r>
  <r>
    <n v="706"/>
    <x v="700"/>
    <n v="685"/>
    <x v="10"/>
    <n v="7"/>
    <x v="38"/>
    <x v="700"/>
    <s v="노원구 월계1동 산 106-5"/>
    <s v="㈜코텍에너지"/>
    <n v="45.78"/>
    <n v="162"/>
    <n v="3.5386631716906947"/>
    <n v="1.1058322411533421"/>
    <s v="구조물"/>
    <n v="0"/>
    <n v="0"/>
    <n v="25.666099199999998"/>
    <m/>
    <s v="-"/>
    <s v="-"/>
    <s v="-"/>
    <s v="-"/>
    <s v="-"/>
    <n v="53471.040000000001"/>
    <m/>
    <m/>
    <n v="1"/>
    <n v="0.98"/>
    <n v="52401.619200000001"/>
    <n v="0"/>
    <n v="0"/>
    <s v="-"/>
    <n v="48320"/>
    <n v="27883"/>
    <n v="49848"/>
    <n v="0.95126831500657139"/>
    <m/>
    <m/>
    <s v="x"/>
    <m/>
    <m/>
    <m/>
    <m/>
    <s v="ㅇ"/>
    <s v="ㅇ"/>
  </r>
  <r>
    <n v="699"/>
    <x v="701"/>
    <n v="692"/>
    <x v="10"/>
    <n v="9"/>
    <x v="38"/>
    <x v="701"/>
    <s v="노원구 하계동 251-8"/>
    <s v="-"/>
    <n v="7"/>
    <n v="43"/>
    <n v="6.1428571428571432"/>
    <n v="1.9196428571428572"/>
    <s v="구조물"/>
    <n v="0"/>
    <n v="0"/>
    <n v="3.9244800000000004"/>
    <m/>
    <s v="-"/>
    <s v="-"/>
    <s v="-"/>
    <s v="-"/>
    <s v="-"/>
    <n v="8176.0000000000009"/>
    <m/>
    <m/>
    <n v="1"/>
    <n v="0.98"/>
    <n v="8012.4800000000005"/>
    <n v="0"/>
    <n v="0"/>
    <s v="-"/>
    <s v="-"/>
    <n v="4421"/>
    <n v="7886"/>
    <n v="0.98421462518471181"/>
    <m/>
    <m/>
    <s v="x"/>
    <m/>
    <m/>
    <m/>
    <m/>
    <s v="ㅇ"/>
    <s v="ㅇ"/>
  </r>
  <r>
    <n v="702"/>
    <x v="702"/>
    <n v="694"/>
    <x v="10"/>
    <n v="9"/>
    <x v="38"/>
    <x v="702"/>
    <s v="노원구 하계동 251-8"/>
    <s v="-"/>
    <n v="1.5"/>
    <n v="12.3"/>
    <n v="8.2000000000000011"/>
    <n v="2.5625"/>
    <s v="구조물"/>
    <n v="0"/>
    <n v="0"/>
    <n v="0.84096000000000015"/>
    <m/>
    <s v="-"/>
    <s v="-"/>
    <s v="-"/>
    <s v="-"/>
    <s v="-"/>
    <n v="1752.0000000000002"/>
    <m/>
    <m/>
    <n v="1"/>
    <n v="0.98"/>
    <n v="1716.9600000000003"/>
    <n v="0"/>
    <n v="0"/>
    <s v="-"/>
    <s v="-"/>
    <n v="1128"/>
    <n v="1706"/>
    <n v="0.99361662473208445"/>
    <m/>
    <m/>
    <s v="x"/>
    <m/>
    <m/>
    <m/>
    <m/>
    <s v="ㅇ"/>
    <s v="ㅇ"/>
  </r>
  <r>
    <n v="707"/>
    <x v="703"/>
    <n v="680"/>
    <x v="10"/>
    <n v="9"/>
    <x v="38"/>
    <x v="703"/>
    <s v="노원구 하계동 251-9"/>
    <s v="-"/>
    <n v="399.5"/>
    <n v="1538"/>
    <n v="3.8498122653316647"/>
    <n v="1.2030663329161451"/>
    <s v="구조물"/>
    <n v="0"/>
    <n v="0"/>
    <n v="223.97568000000004"/>
    <m/>
    <s v="-"/>
    <s v="-"/>
    <s v="-"/>
    <s v="-"/>
    <s v="-"/>
    <n v="466616.00000000006"/>
    <m/>
    <m/>
    <n v="1"/>
    <n v="0.98"/>
    <n v="457283.68000000005"/>
    <n v="0"/>
    <n v="24600"/>
    <n v="424260"/>
    <n v="421463"/>
    <n v="243001"/>
    <n v="424602"/>
    <n v="0.92853084107440698"/>
    <m/>
    <m/>
    <s v="x"/>
    <m/>
    <m/>
    <m/>
    <m/>
    <s v="ㅇ"/>
    <s v="ㅇ"/>
  </r>
  <r>
    <n v="701"/>
    <x v="704"/>
    <n v="704"/>
    <x v="10"/>
    <n v="12"/>
    <x v="38"/>
    <x v="704"/>
    <s v="노원구 중계동 514-3"/>
    <s v="㈜켐스코"/>
    <n v="5"/>
    <n v="14"/>
    <n v="2.8"/>
    <n v="0.87499999999999989"/>
    <m/>
    <n v="0"/>
    <n v="0"/>
    <n v="2.8031999999999999"/>
    <m/>
    <s v="-"/>
    <s v="-"/>
    <s v="-"/>
    <s v="-"/>
    <s v="-"/>
    <n v="5840"/>
    <m/>
    <m/>
    <n v="1"/>
    <n v="0.98"/>
    <n v="5723.2"/>
    <n v="0"/>
    <n v="0"/>
    <s v="-"/>
    <n v="6247"/>
    <n v="3557"/>
    <n v="6154"/>
    <n v="1.075272574783338"/>
    <m/>
    <m/>
    <s v="x"/>
    <m/>
    <m/>
    <m/>
    <m/>
    <s v="ㅇ"/>
    <s v="ㅇ"/>
  </r>
  <r>
    <n v="710"/>
    <x v="705"/>
    <n v="667"/>
    <x v="10"/>
    <n v="5"/>
    <x v="39"/>
    <x v="705"/>
    <s v="은평구 증산로 476 (응암동114-10)"/>
    <s v="코텍에너지"/>
    <n v="10"/>
    <n v="34"/>
    <n v="3.4"/>
    <n v="1.0625"/>
    <m/>
    <n v="0"/>
    <n v="0"/>
    <n v="5.6063999999999998"/>
    <m/>
    <s v="-"/>
    <s v="-"/>
    <s v="-"/>
    <s v="-"/>
    <s v="-"/>
    <n v="11680"/>
    <n v="24"/>
    <n v="0"/>
    <n v="0.97719427599999997"/>
    <n v="0.98"/>
    <n v="11185.3565608064"/>
    <n v="0"/>
    <n v="3020"/>
    <n v="9255"/>
    <n v="7382"/>
    <n v="7375"/>
    <n v="8004"/>
    <n v="0.71557844012287419"/>
    <s v="기타(시설이전)"/>
    <s v="시설이전에 따라 4개월간 미가동"/>
    <s v="x"/>
    <m/>
    <m/>
    <m/>
    <m/>
    <s v="ㅇ"/>
    <s v="ㅇ"/>
  </r>
  <r>
    <n v="711"/>
    <x v="706"/>
    <n v="727"/>
    <x v="10"/>
    <n v="9"/>
    <x v="40"/>
    <x v="706"/>
    <s v="서대문구 연희로39나길 8"/>
    <s v="해드림 협동조합"/>
    <n v="0.6"/>
    <n v="1"/>
    <n v="1.6666666666666667"/>
    <n v="0.52083333333333337"/>
    <m/>
    <n v="0"/>
    <n v="0"/>
    <n v="0.33638400000000002"/>
    <m/>
    <s v="-"/>
    <s v="-"/>
    <s v="-"/>
    <s v="-"/>
    <s v="-"/>
    <n v="700.8"/>
    <m/>
    <m/>
    <n v="1"/>
    <n v="0.98"/>
    <n v="686.78399999999999"/>
    <n v="0"/>
    <n v="0"/>
    <s v="-"/>
    <s v="-"/>
    <n v="600"/>
    <n v="900"/>
    <n v="1.310455689124965"/>
    <m/>
    <m/>
    <s v="x"/>
    <m/>
    <m/>
    <m/>
    <m/>
    <s v="ㅇ"/>
    <s v="ㅇ"/>
  </r>
  <r>
    <n v="713"/>
    <x v="707"/>
    <n v="730"/>
    <x v="10"/>
    <n v="10"/>
    <x v="40"/>
    <x v="707"/>
    <s v="서대문구 백련사길 39(홍은동)"/>
    <s v="디아이케이"/>
    <n v="60.48"/>
    <n v="195"/>
    <n v="3.2242063492063493"/>
    <n v="1.0075644841269842"/>
    <m/>
    <n v="0"/>
    <n v="0"/>
    <n v="33.907507200000005"/>
    <m/>
    <s v="-"/>
    <s v="-"/>
    <s v="-"/>
    <s v="-"/>
    <s v="-"/>
    <n v="70640.639999999999"/>
    <n v="0"/>
    <n v="90"/>
    <n v="0.68300000000000005"/>
    <n v="0.98"/>
    <n v="47282.605977600004"/>
    <n v="0"/>
    <n v="0"/>
    <s v="-"/>
    <s v="-"/>
    <n v="0"/>
    <n v="76507"/>
    <n v="1.6180791734754418"/>
    <m/>
    <s v="태양광을 받는 방향이 좋고 태양광 시설이 높은지대에 있어 발전효율 우수"/>
    <s v="x"/>
    <m/>
    <m/>
    <m/>
    <m/>
    <s v="ㅇ"/>
    <s v="ㅇ"/>
  </r>
  <r>
    <n v="712"/>
    <x v="708"/>
    <n v="657"/>
    <x v="10"/>
    <n v="11"/>
    <x v="40"/>
    <x v="708"/>
    <s v="서대문구 홍은중앙로 125"/>
    <s v="(주)대연씨앤아이"/>
    <n v="8"/>
    <n v="23.7"/>
    <n v="2.9624999999999999"/>
    <n v="0.92578124999999989"/>
    <m/>
    <n v="0.3"/>
    <n v="9.375"/>
    <n v="4.1851200000000004"/>
    <m/>
    <s v="-"/>
    <s v="-"/>
    <s v="-"/>
    <s v="-"/>
    <n v="0.3"/>
    <n v="9344"/>
    <m/>
    <m/>
    <n v="1"/>
    <n v="0.98"/>
    <n v="9157.119999999999"/>
    <n v="0"/>
    <n v="0"/>
    <n v="7900"/>
    <n v="9174"/>
    <n v="5500"/>
    <n v="8259"/>
    <n v="0.90192112804025726"/>
    <m/>
    <m/>
    <s v="x"/>
    <m/>
    <m/>
    <m/>
    <m/>
    <s v="ㅇ"/>
    <s v="ㅇ"/>
  </r>
  <r>
    <n v="716"/>
    <x v="709"/>
    <n v="689"/>
    <x v="10"/>
    <n v="5"/>
    <x v="15"/>
    <x v="709"/>
    <s v="마포구 매봉산로 18"/>
    <s v="㈜에스피브이"/>
    <n v="35"/>
    <n v="96"/>
    <n v="2.7428571428571429"/>
    <n v="0.8571428571428571"/>
    <m/>
    <n v="0"/>
    <n v="0"/>
    <n v="19.622399999999999"/>
    <m/>
    <s v="-"/>
    <s v="-"/>
    <s v="-"/>
    <s v="-"/>
    <s v="-"/>
    <n v="40880"/>
    <m/>
    <m/>
    <n v="1"/>
    <n v="0.98"/>
    <n v="40062.400000000001"/>
    <n v="0"/>
    <n v="19568"/>
    <n v="37725"/>
    <n v="36959"/>
    <n v="20315"/>
    <n v="38908"/>
    <n v="0.97118495147569783"/>
    <m/>
    <m/>
    <s v="x"/>
    <m/>
    <m/>
    <m/>
    <m/>
    <s v="ㅇ"/>
    <s v="ㅇ"/>
  </r>
  <r>
    <n v="714"/>
    <x v="710"/>
    <n v="676"/>
    <x v="10"/>
    <n v="7"/>
    <x v="15"/>
    <x v="710"/>
    <s v="마포구 만리재옛길 78-1"/>
    <s v="주식회사 삼구아이앤씨"/>
    <n v="3"/>
    <n v="17"/>
    <n v="5.666666666666667"/>
    <n v="1.7708333333333333"/>
    <s v="구조물"/>
    <n v="0"/>
    <n v="0"/>
    <n v="1.6819200000000003"/>
    <m/>
    <s v="-"/>
    <s v="-"/>
    <s v="-"/>
    <s v="-"/>
    <s v="-"/>
    <n v="3504.0000000000005"/>
    <m/>
    <m/>
    <n v="1"/>
    <n v="0.98"/>
    <n v="3433.9200000000005"/>
    <n v="0"/>
    <n v="0"/>
    <n v="3280"/>
    <n v="3285"/>
    <n v="1851"/>
    <n v="3058"/>
    <n v="0.89052744385425386"/>
    <m/>
    <s v="주변 고층건물 영향"/>
    <s v="x"/>
    <m/>
    <m/>
    <m/>
    <m/>
    <s v="ㅇ"/>
    <s v="ㅇ"/>
  </r>
  <r>
    <n v="715"/>
    <x v="711"/>
    <n v="672"/>
    <x v="10"/>
    <n v="8"/>
    <x v="15"/>
    <x v="711"/>
    <s v="마포구 성산로 128"/>
    <s v="이에스솔라㈜"/>
    <n v="112.84"/>
    <n v="328"/>
    <n v="2.9067706487061327"/>
    <n v="0.90836582772066643"/>
    <m/>
    <n v="0"/>
    <n v="0"/>
    <n v="63.262617599999992"/>
    <m/>
    <s v="-"/>
    <s v="-"/>
    <s v="-"/>
    <s v="-"/>
    <s v="-"/>
    <n v="131797.12"/>
    <m/>
    <m/>
    <n v="1"/>
    <n v="0.98"/>
    <n v="129161.1776"/>
    <n v="0"/>
    <n v="13855"/>
    <n v="139045"/>
    <n v="131021"/>
    <n v="54240"/>
    <n v="107720"/>
    <n v="0.83399673184769729"/>
    <m/>
    <m/>
    <s v="x"/>
    <m/>
    <m/>
    <m/>
    <m/>
    <s v="ㅇ"/>
    <s v="ㅇ"/>
  </r>
  <r>
    <n v="717"/>
    <x v="712"/>
    <n v="707"/>
    <x v="10"/>
    <n v="6"/>
    <x v="56"/>
    <x v="712"/>
    <s v="양천구 목동중앙남로 57-14"/>
    <s v="㈜에너솔라"/>
    <n v="10.050000000000001"/>
    <n v="40"/>
    <n v="3.9800995024875618"/>
    <n v="1.2437810945273631"/>
    <s v="구조물"/>
    <n v="0"/>
    <n v="0"/>
    <n v="5.6344320000000012"/>
    <m/>
    <s v="-"/>
    <s v="-"/>
    <s v="-"/>
    <s v="-"/>
    <s v="-"/>
    <n v="11738.400000000001"/>
    <m/>
    <m/>
    <n v="1"/>
    <n v="0.98"/>
    <n v="11503.632000000001"/>
    <n v="0"/>
    <s v="-"/>
    <n v="11715"/>
    <s v="-"/>
    <n v="7840"/>
    <n v="12592"/>
    <n v="1.0946108150886606"/>
    <m/>
    <m/>
    <s v="x"/>
    <m/>
    <m/>
    <m/>
    <m/>
    <s v="ㅇ"/>
    <s v="ㅇ"/>
  </r>
  <r>
    <n v="718"/>
    <x v="713"/>
    <n v="682"/>
    <x v="10"/>
    <n v="6"/>
    <x v="65"/>
    <x v="713"/>
    <s v="강서구 방화대로 330"/>
    <s v="㈜에이스나노텍"/>
    <n v="41"/>
    <n v="131"/>
    <n v="3.1951219512195124"/>
    <n v="0.99847560975609762"/>
    <m/>
    <n v="0"/>
    <n v="0"/>
    <n v="22.986240000000002"/>
    <m/>
    <m/>
    <m/>
    <m/>
    <m/>
    <m/>
    <n v="47888.000000000007"/>
    <n v="20"/>
    <n v="0"/>
    <n v="0.98099999999999998"/>
    <n v="0.98"/>
    <n v="46038.565440000006"/>
    <n v="0"/>
    <n v="0"/>
    <n v="45231"/>
    <n v="46823"/>
    <n v="27929"/>
    <n v="43400"/>
    <n v="0.94268793098171733"/>
    <m/>
    <m/>
    <s v="x"/>
    <m/>
    <m/>
    <m/>
    <m/>
    <s v="ㅇ"/>
    <s v="ㅇ"/>
  </r>
  <r>
    <n v="719"/>
    <x v="714"/>
    <n v="700"/>
    <x v="10"/>
    <n v="5"/>
    <x v="16"/>
    <x v="714"/>
    <s v="구로구 새말로 121-15"/>
    <s v="헥스파워시스템㈜"/>
    <n v="10"/>
    <n v="36"/>
    <n v="3.6"/>
    <n v="1.125"/>
    <m/>
    <n v="0"/>
    <n v="0"/>
    <n v="5.6063999999999998"/>
    <m/>
    <s v="-"/>
    <s v="-"/>
    <s v="-"/>
    <s v="-"/>
    <s v="-"/>
    <n v="11680"/>
    <m/>
    <m/>
    <n v="1"/>
    <n v="0.98"/>
    <n v="11446.4"/>
    <n v="0"/>
    <n v="7007"/>
    <n v="12456"/>
    <n v="12006"/>
    <n v="5874"/>
    <n v="11968"/>
    <n v="1.0455689124965055"/>
    <m/>
    <m/>
    <s v="x"/>
    <m/>
    <m/>
    <m/>
    <m/>
    <s v="ㅇ"/>
    <s v="ㅇ"/>
  </r>
  <r>
    <n v="720"/>
    <x v="715"/>
    <n v="652"/>
    <x v="10"/>
    <n v="4"/>
    <x v="17"/>
    <x v="715"/>
    <s v="영등포구 양화동 175-2"/>
    <s v="메리츠테크놀로지㈜"/>
    <n v="13"/>
    <n v="83"/>
    <n v="6.384615384615385"/>
    <n v="1.9951923076923077"/>
    <s v="구조물"/>
    <n v="1.6360000000000001"/>
    <n v="31.461538461538463"/>
    <n v="5.6523199999999996"/>
    <s v="안전관리"/>
    <s v="-"/>
    <s v="-"/>
    <n v="0.5"/>
    <n v="0.5"/>
    <n v="0.63600000000000001"/>
    <n v="15184"/>
    <m/>
    <m/>
    <n v="1"/>
    <n v="0.98"/>
    <n v="14880.32"/>
    <n v="0"/>
    <n v="8257"/>
    <n v="11834"/>
    <s v="-"/>
    <n v="12400"/>
    <n v="19455"/>
    <n v="1.3074315606115998"/>
    <m/>
    <m/>
    <s v="x"/>
    <m/>
    <m/>
    <m/>
    <m/>
    <s v="ㅇ"/>
    <s v="ㅇ"/>
  </r>
  <r>
    <n v="721"/>
    <x v="716"/>
    <n v="655"/>
    <x v="10"/>
    <n v="12"/>
    <x v="42"/>
    <x v="716"/>
    <s v="동작구 사당동 316-40"/>
    <s v="이엔에이치㈜"/>
    <n v="3"/>
    <n v="8.5"/>
    <n v="2.8333333333333335"/>
    <n v="0.88541666666666663"/>
    <m/>
    <n v="0.90000000000000013"/>
    <n v="75.000000000000014"/>
    <n v="0.78192000000000017"/>
    <m/>
    <m/>
    <n v="0.2"/>
    <n v="0.2"/>
    <n v="0.2"/>
    <n v="0.3"/>
    <n v="3504.0000000000005"/>
    <n v="10"/>
    <n v="-50"/>
    <n v="0.92"/>
    <n v="0.98"/>
    <n v="3159.2064000000005"/>
    <n v="0"/>
    <n v="0"/>
    <s v="-"/>
    <s v="-"/>
    <n v="2292"/>
    <n v="2538"/>
    <n v="0.80336631376791323"/>
    <m/>
    <s v="건물 방위에 맞춰 설치 방위각 남서향으로 설치, 미관 고려 경사각 낮게 설치"/>
    <s v="x"/>
    <m/>
    <m/>
    <m/>
    <m/>
    <s v="ㅇ"/>
    <s v="ㅇ"/>
  </r>
  <r>
    <n v="722"/>
    <x v="717"/>
    <n v="690"/>
    <x v="10"/>
    <n v="4"/>
    <x v="18"/>
    <x v="717"/>
    <s v="관악구 남부순환로 1914"/>
    <s v="㈜에이스쏠라"/>
    <n v="3"/>
    <n v="12.8"/>
    <n v="4.2666666666666666"/>
    <n v="1.3333333333333333"/>
    <s v="구조물"/>
    <n v="0"/>
    <n v="0"/>
    <n v="1.6819200000000003"/>
    <m/>
    <s v="-"/>
    <s v="-"/>
    <s v="-"/>
    <s v="-"/>
    <s v="-"/>
    <n v="3504.0000000000005"/>
    <m/>
    <m/>
    <n v="1"/>
    <n v="0.98"/>
    <n v="3433.9200000000005"/>
    <n v="0"/>
    <n v="2939"/>
    <n v="4211"/>
    <n v="4373"/>
    <n v="2945"/>
    <n v="3350"/>
    <n v="0.97556145745969602"/>
    <m/>
    <m/>
    <s v="x"/>
    <m/>
    <m/>
    <m/>
    <m/>
    <s v="ㅇ"/>
    <s v="ㅇ"/>
  </r>
  <r>
    <n v="723"/>
    <x v="718"/>
    <n v="671"/>
    <x v="10"/>
    <n v="6"/>
    <x v="18"/>
    <x v="718"/>
    <s v="관악구 신림동 산197-3"/>
    <s v="㈜한국스카다"/>
    <n v="30.8"/>
    <n v="97"/>
    <n v="3.1493506493506493"/>
    <n v="0.98417207792207784"/>
    <m/>
    <n v="0"/>
    <n v="0"/>
    <n v="17.267712"/>
    <m/>
    <s v="-"/>
    <s v="-"/>
    <m/>
    <m/>
    <m/>
    <n v="35974.400000000001"/>
    <m/>
    <m/>
    <n v="1"/>
    <n v="0.98"/>
    <n v="35254.912000000004"/>
    <n v="0"/>
    <n v="11221"/>
    <n v="31195"/>
    <n v="32823"/>
    <n v="21638"/>
    <n v="29378"/>
    <n v="0.83330232110634672"/>
    <m/>
    <s v=" 장마 등으로 발전효율 저하"/>
    <s v="x"/>
    <m/>
    <m/>
    <m/>
    <m/>
    <s v="ㅇ"/>
    <s v="ㅇ"/>
  </r>
  <r>
    <n v="724"/>
    <x v="719"/>
    <n v="688"/>
    <x v="10"/>
    <n v="9"/>
    <x v="18"/>
    <x v="719"/>
    <s v="관악구 낙성대로 40"/>
    <s v="㈜한국스카다"/>
    <n v="16"/>
    <n v="49"/>
    <n v="3.0625"/>
    <n v="0.95703125"/>
    <m/>
    <n v="0"/>
    <n v="0"/>
    <n v="8.9702400000000004"/>
    <m/>
    <s v="-"/>
    <s v="-"/>
    <m/>
    <m/>
    <m/>
    <n v="18688"/>
    <n v="30"/>
    <n v="5"/>
    <n v="0.998"/>
    <n v="0.98"/>
    <n v="18277.611519999999"/>
    <n v="0"/>
    <n v="4329"/>
    <n v="18187"/>
    <n v="17720"/>
    <n v="12641"/>
    <n v="17700"/>
    <n v="0.96839786646258696"/>
    <m/>
    <m/>
    <s v="x"/>
    <m/>
    <m/>
    <m/>
    <m/>
    <s v="ㅇ"/>
    <s v="ㅇ"/>
  </r>
  <r>
    <n v="725"/>
    <x v="720"/>
    <n v="674"/>
    <x v="10"/>
    <n v="9"/>
    <x v="18"/>
    <x v="720"/>
    <s v="관악구 난곡로34길 71"/>
    <s v="㈜한국스카다"/>
    <n v="10"/>
    <n v="33"/>
    <n v="3.3"/>
    <n v="1.0312499999999998"/>
    <m/>
    <n v="0"/>
    <n v="0"/>
    <n v="5.6063999999999998"/>
    <m/>
    <s v="-"/>
    <s v="-"/>
    <m/>
    <m/>
    <m/>
    <n v="11680"/>
    <n v="25"/>
    <n v="9"/>
    <n v="0.99099999999999999"/>
    <n v="0.98"/>
    <n v="11343.382399999999"/>
    <n v="0"/>
    <n v="1955"/>
    <n v="9403"/>
    <n v="9888"/>
    <n v="6750"/>
    <n v="9568"/>
    <n v="0.8434873887351273"/>
    <m/>
    <s v=" 장마 등으로 발전효율 저하"/>
    <s v="x"/>
    <m/>
    <m/>
    <m/>
    <m/>
    <s v="ㅇ"/>
    <s v="ㅇ"/>
  </r>
  <r>
    <n v="727"/>
    <x v="721"/>
    <n v="669"/>
    <x v="10"/>
    <n v="11"/>
    <x v="18"/>
    <x v="721"/>
    <s v="관악구 관천로 12길"/>
    <s v="(주)이맥스시스템"/>
    <n v="7.4249999999999998"/>
    <n v="22.7"/>
    <n v="3.0572390572390571"/>
    <n v="0.95538720538720534"/>
    <m/>
    <n v="0"/>
    <n v="0"/>
    <n v="4.1627520000000011"/>
    <m/>
    <s v="-"/>
    <s v="-"/>
    <s v="-"/>
    <s v="-"/>
    <s v="-"/>
    <n v="8672.4000000000015"/>
    <m/>
    <m/>
    <n v="1"/>
    <n v="0.98"/>
    <n v="8498.9520000000011"/>
    <n v="0"/>
    <n v="1266"/>
    <n v="6746"/>
    <n v="6335"/>
    <n v="4755"/>
    <n v="6899"/>
    <n v="0.81174714247121282"/>
    <m/>
    <s v=" 장마 등으로 발전효율 저하"/>
    <s v="x"/>
    <m/>
    <m/>
    <m/>
    <m/>
    <s v="ㅇ"/>
    <s v="ㅇ"/>
  </r>
  <r>
    <n v="726"/>
    <x v="722"/>
    <n v="658"/>
    <x v="10"/>
    <n v="12"/>
    <x v="18"/>
    <x v="722"/>
    <s v="관악구 호암로18나길 5"/>
    <s v="㈜에너솔라"/>
    <n v="5.5"/>
    <n v="18"/>
    <n v="3.2727272727272729"/>
    <n v="1.0227272727272727"/>
    <m/>
    <n v="0.3"/>
    <n v="13.636363636363635"/>
    <n v="2.7835200000000007"/>
    <m/>
    <s v="-"/>
    <s v="-"/>
    <s v="-"/>
    <s v="-"/>
    <n v="0.3"/>
    <n v="6424.0000000000009"/>
    <m/>
    <m/>
    <n v="1"/>
    <n v="0.98"/>
    <n v="6295.52"/>
    <n v="0"/>
    <n v="0"/>
    <n v="7145.55"/>
    <n v="7236.1"/>
    <n v="5605"/>
    <n v="6850"/>
    <n v="1.0880753297583043"/>
    <m/>
    <m/>
    <s v="x"/>
    <m/>
    <m/>
    <m/>
    <m/>
    <s v="ㅇ"/>
    <s v="ㅇ"/>
  </r>
  <r>
    <n v="729"/>
    <x v="723"/>
    <n v="677"/>
    <x v="10"/>
    <n v="3"/>
    <x v="45"/>
    <x v="723"/>
    <s v="송파구 성내천로35길 53 (마천동)"/>
    <s v="신성이엔지/다스테크"/>
    <n v="11.8"/>
    <n v="62"/>
    <n v="5.2542372881355925"/>
    <n v="1.6419491525423726"/>
    <s v="구조물"/>
    <n v="0"/>
    <n v="0"/>
    <n v="6.615552000000001"/>
    <m/>
    <s v="-"/>
    <s v="-"/>
    <s v="-"/>
    <s v="-"/>
    <s v="-"/>
    <n v="13782.400000000001"/>
    <n v="15"/>
    <n v="-90"/>
    <n v="0.874"/>
    <n v="0.98"/>
    <n v="11804.901248"/>
    <n v="0"/>
    <n v="10085"/>
    <n v="12770"/>
    <n v="12035"/>
    <n v="6723"/>
    <n v="10845"/>
    <n v="0.91868621110552473"/>
    <m/>
    <m/>
    <s v="x"/>
    <m/>
    <m/>
    <m/>
    <m/>
    <s v="ㅇ"/>
    <s v="ㅇ"/>
  </r>
  <r>
    <n v="728"/>
    <x v="724"/>
    <n v="656"/>
    <x v="10"/>
    <n v="5"/>
    <x v="45"/>
    <x v="724"/>
    <s v="송파구 양산로 5"/>
    <s v="한화큐셀코리아/(주)광명전기"/>
    <n v="20"/>
    <n v="63"/>
    <n v="3.15"/>
    <n v="0.98437499999999989"/>
    <m/>
    <n v="0.6"/>
    <n v="7.5"/>
    <n v="10.6128"/>
    <m/>
    <s v="-"/>
    <n v="0.6"/>
    <n v="0"/>
    <n v="0"/>
    <s v="-"/>
    <n v="23360"/>
    <n v="25"/>
    <n v="10"/>
    <n v="0.99099999999999999"/>
    <n v="0.98"/>
    <n v="22686.764799999997"/>
    <n v="0"/>
    <n v="10098"/>
    <n v="22096"/>
    <n v="22729"/>
    <n v="13078"/>
    <n v="20430"/>
    <n v="0.90052504974177727"/>
    <m/>
    <s v="7~8월 강우로 인해 발전량 감소"/>
    <s v="x"/>
    <m/>
    <m/>
    <m/>
    <m/>
    <s v="ㅇ"/>
    <s v="ㅇ"/>
  </r>
  <r>
    <n v="730"/>
    <x v="725"/>
    <n v="693"/>
    <x v="10"/>
    <n v="8"/>
    <x v="46"/>
    <x v="725"/>
    <s v="강동구 성내동 540"/>
    <s v="에디슨솔라이텍㈜"/>
    <n v="61"/>
    <n v="186"/>
    <n v="3.0491803278688523"/>
    <n v="0.95286885245901631"/>
    <m/>
    <n v="0"/>
    <n v="0"/>
    <n v="34.199039999999997"/>
    <m/>
    <s v="-"/>
    <s v="-"/>
    <s v="-"/>
    <s v="-"/>
    <s v="-"/>
    <n v="71248"/>
    <m/>
    <m/>
    <n v="1"/>
    <n v="0.98"/>
    <n v="69823.039999999994"/>
    <n v="0"/>
    <n v="14721"/>
    <n v="54345"/>
    <n v="67506"/>
    <n v="47955"/>
    <n v="69011"/>
    <n v="0.98837002800221829"/>
    <m/>
    <m/>
    <s v="x"/>
    <m/>
    <m/>
    <m/>
    <m/>
    <s v="ㅇ"/>
    <s v="ㅇ"/>
  </r>
  <r>
    <n v="731"/>
    <x v="726"/>
    <n v="717"/>
    <x v="10"/>
    <n v="8"/>
    <x v="46"/>
    <x v="726"/>
    <s v="강동구 고덕동 108"/>
    <s v="에이컴에너지㈜"/>
    <n v="41.6"/>
    <n v="108"/>
    <n v="2.5961538461538463"/>
    <n v="0.81129807692307687"/>
    <m/>
    <n v="0"/>
    <n v="0"/>
    <n v="23.322624000000001"/>
    <m/>
    <s v="-"/>
    <s v="-"/>
    <s v="-"/>
    <s v="-"/>
    <s v="-"/>
    <n v="48588.800000000003"/>
    <n v="10"/>
    <n v="0"/>
    <n v="0.94199999999999995"/>
    <n v="0.98"/>
    <n v="44855.236607999999"/>
    <n v="0"/>
    <n v="0"/>
    <n v="48589"/>
    <n v="48589"/>
    <n v="31498"/>
    <n v="51830"/>
    <n v="1.1554949637865926"/>
    <m/>
    <m/>
    <s v="x"/>
    <m/>
    <m/>
    <m/>
    <m/>
    <s v="ㅇ"/>
    <s v="ㅇ"/>
  </r>
  <r>
    <n v="732"/>
    <x v="727"/>
    <n v="678"/>
    <x v="10"/>
    <n v="12"/>
    <x v="46"/>
    <x v="727"/>
    <s v="강동구 상일동 491"/>
    <s v="㈜라트오퍼레이션스"/>
    <n v="6"/>
    <n v="40"/>
    <n v="6.666666666666667"/>
    <n v="2.0833333333333335"/>
    <s v="BIPV"/>
    <n v="0"/>
    <n v="0"/>
    <n v="3.3638400000000006"/>
    <m/>
    <s v="-"/>
    <s v="-"/>
    <s v="-"/>
    <s v="-"/>
    <s v="-"/>
    <n v="7008.0000000000009"/>
    <m/>
    <m/>
    <n v="1"/>
    <n v="0.98"/>
    <n v="6867.8400000000011"/>
    <n v="0"/>
    <s v="-"/>
    <n v="7008"/>
    <n v="6521"/>
    <n v="3504"/>
    <n v="6321"/>
    <n v="0.92037671232876694"/>
    <m/>
    <m/>
    <s v="x"/>
    <m/>
    <m/>
    <m/>
    <m/>
    <s v="ㅇ"/>
    <s v="ㅇ"/>
  </r>
  <r>
    <n v="737"/>
    <x v="728"/>
    <n v="846"/>
    <x v="11"/>
    <n v="3"/>
    <x v="83"/>
    <x v="728"/>
    <s v="마포구 백범로31길 21"/>
    <s v="JK 알에스티"/>
    <n v="36"/>
    <n v="100"/>
    <n v="2.7777777777777777"/>
    <n v="0.96685617047607986"/>
    <m/>
    <n v="0"/>
    <n v="0"/>
    <n v="15.137280000000001"/>
    <m/>
    <s v="-"/>
    <s v="-"/>
    <s v="-"/>
    <s v="-"/>
    <s v="-"/>
    <n v="42048"/>
    <m/>
    <m/>
    <n v="1"/>
    <n v="0.98499999999999999"/>
    <n v="41417.279999999999"/>
    <n v="0"/>
    <s v="-"/>
    <n v="39164"/>
    <n v="45238"/>
    <n v="26146"/>
    <n v="41799"/>
    <n v="1.0092164429919106"/>
    <m/>
    <m/>
    <s v="x"/>
    <m/>
    <m/>
    <m/>
    <m/>
    <s v="ㅇ"/>
    <s v="ㅇ"/>
  </r>
  <r>
    <n v="733"/>
    <x v="729"/>
    <n v="860"/>
    <x v="11"/>
    <n v="7"/>
    <x v="86"/>
    <x v="729"/>
    <s v="마포구 성암로 330"/>
    <s v="유니테스트"/>
    <n v="140"/>
    <n v="463"/>
    <n v="3.3071428571428569"/>
    <n v="1.1511113321068072"/>
    <s v="구조물"/>
    <n v="0"/>
    <n v="0"/>
    <n v="58.867199999999997"/>
    <m/>
    <s v="-"/>
    <s v="-"/>
    <s v="-"/>
    <s v="-"/>
    <s v="-"/>
    <n v="163520"/>
    <n v="15"/>
    <n v="30"/>
    <n v="0.95299999999999996"/>
    <n v="0.98499999999999999"/>
    <n v="153497.0416"/>
    <n v="0"/>
    <s v="-"/>
    <n v="52725"/>
    <n v="176929"/>
    <n v="93177"/>
    <n v="159889"/>
    <n v="1.0416422253704205"/>
    <m/>
    <m/>
    <s v="x"/>
    <m/>
    <m/>
    <m/>
    <m/>
    <s v="ㅇ"/>
    <s v="ㅇ"/>
  </r>
  <r>
    <n v="735"/>
    <x v="730"/>
    <n v="868"/>
    <x v="11"/>
    <n v="9"/>
    <x v="82"/>
    <x v="730"/>
    <s v="노원구 덕릉로70가길 81"/>
    <s v="케이에스오전기㈜"/>
    <n v="90.72"/>
    <n v="243"/>
    <n v="2.6785714285714288"/>
    <n v="0.93232559295907713"/>
    <m/>
    <n v="0"/>
    <n v="0"/>
    <n v="38.145945600000005"/>
    <m/>
    <s v="-"/>
    <s v="-"/>
    <s v="-"/>
    <s v="-"/>
    <s v="-"/>
    <n v="105960.96000000001"/>
    <n v="10"/>
    <n v="20"/>
    <n v="0.93899999999999995"/>
    <n v="0.98499999999999999"/>
    <n v="98004.881318400003"/>
    <n v="0"/>
    <s v="-"/>
    <n v="31600"/>
    <n v="114103"/>
    <n v="64733"/>
    <n v="103241"/>
    <n v="1.0534271212939772"/>
    <m/>
    <m/>
    <s v="x"/>
    <m/>
    <m/>
    <m/>
    <m/>
    <s v="ㅇ"/>
    <s v="ㅇ"/>
  </r>
  <r>
    <n v="736"/>
    <x v="731"/>
    <n v="876"/>
    <x v="11"/>
    <n v="9"/>
    <x v="82"/>
    <x v="731"/>
    <s v="용산구 한남대로 136"/>
    <s v="㈜캠스코"/>
    <n v="60"/>
    <n v="143"/>
    <n v="2.3833333333333333"/>
    <n v="0.82956259426847656"/>
    <m/>
    <n v="0"/>
    <n v="0"/>
    <n v="25.2288"/>
    <m/>
    <s v="-"/>
    <s v="-"/>
    <s v="-"/>
    <s v="-"/>
    <s v="-"/>
    <n v="70080"/>
    <n v="11"/>
    <n v="0"/>
    <n v="0.94199999999999995"/>
    <n v="0.98499999999999999"/>
    <n v="65025.1296"/>
    <n v="0"/>
    <s v="-"/>
    <n v="5350"/>
    <n v="72961"/>
    <n v="44549"/>
    <n v="70647"/>
    <n v="1.0864568888148745"/>
    <m/>
    <m/>
    <s v="x"/>
    <m/>
    <m/>
    <m/>
    <m/>
    <s v="ㅇ"/>
    <s v="ㅇ"/>
  </r>
  <r>
    <n v="734"/>
    <x v="732"/>
    <n v="773"/>
    <x v="11"/>
    <n v="10"/>
    <x v="76"/>
    <x v="732"/>
    <s v="강남구 개포로 416"/>
    <s v="㈜코텍에너지"/>
    <n v="25"/>
    <n v="117"/>
    <n v="4.68"/>
    <n v="1.6289592760180993"/>
    <s v="구조물"/>
    <n v="0"/>
    <n v="0"/>
    <n v="10.512"/>
    <m/>
    <s v="-"/>
    <s v="-"/>
    <s v="-"/>
    <s v="-"/>
    <s v="-"/>
    <n v="29200"/>
    <n v="20"/>
    <n v="50"/>
    <n v="0.94099999999999995"/>
    <n v="0.98499999999999999"/>
    <n v="27065.041999999998"/>
    <n v="0"/>
    <s v="-"/>
    <n v="2075"/>
    <n v="23898"/>
    <n v="17221"/>
    <n v="23638"/>
    <n v="0.87337754731731077"/>
    <m/>
    <m/>
    <s v="x"/>
    <m/>
    <m/>
    <m/>
    <m/>
    <s v="ㅇ"/>
    <s v="ㅇ"/>
  </r>
  <r>
    <n v="738"/>
    <x v="733"/>
    <n v="861"/>
    <x v="11"/>
    <n v="11"/>
    <x v="9"/>
    <x v="733"/>
    <s v="도봉구 도당로2길 12-13"/>
    <s v="(주)코텍에너지"/>
    <n v="20.16"/>
    <n v="73"/>
    <n v="3.621031746031746"/>
    <n v="1.2603660793706042"/>
    <s v="구조물"/>
    <n v="0"/>
    <n v="0"/>
    <n v="8.4768768000000012"/>
    <m/>
    <s v="-"/>
    <s v="-"/>
    <s v="-"/>
    <s v="-"/>
    <s v="-"/>
    <n v="23546.880000000001"/>
    <n v="5"/>
    <n v="0"/>
    <n v="0.94199999999999995"/>
    <n v="0.98499999999999999"/>
    <n v="21848.443545599999"/>
    <n v="0"/>
    <s v="-"/>
    <n v="613"/>
    <n v="23306"/>
    <n v="15292"/>
    <n v="22839"/>
    <n v="1.0453376210681831"/>
    <m/>
    <m/>
    <s v="x"/>
    <m/>
    <m/>
    <m/>
    <m/>
    <s v="ㅇ"/>
    <s v="ㅇ"/>
  </r>
  <r>
    <n v="740"/>
    <x v="734"/>
    <n v="910"/>
    <x v="11"/>
    <n v="11"/>
    <x v="87"/>
    <x v="734"/>
    <s v="양평군 용문면 화전로264"/>
    <s v="㈜코텍에너지"/>
    <n v="43.2"/>
    <n v="118"/>
    <n v="2.7314814814814814"/>
    <n v="0.95074190096814526"/>
    <m/>
    <n v="0"/>
    <n v="0"/>
    <n v="18.164736000000005"/>
    <m/>
    <s v="-"/>
    <s v="-"/>
    <s v="-"/>
    <s v="-"/>
    <s v="-"/>
    <n v="50457.600000000006"/>
    <n v="15"/>
    <n v="0"/>
    <n v="0.96399999999999997"/>
    <n v="0.98499999999999999"/>
    <n v="47911.509504000001"/>
    <n v="0"/>
    <s v="-"/>
    <n v="1212"/>
    <n v="59486"/>
    <n v="37782"/>
    <n v="60068"/>
    <n v="1.253727979390528"/>
    <m/>
    <m/>
    <s v="x"/>
    <m/>
    <m/>
    <m/>
    <m/>
    <s v="ㅇ"/>
    <s v="ㅇ"/>
  </r>
  <r>
    <n v="739"/>
    <x v="735"/>
    <n v="884"/>
    <x v="11"/>
    <n v="12"/>
    <x v="9"/>
    <x v="735"/>
    <s v="성동구 마조로77"/>
    <s v="㈜코텍에너지"/>
    <n v="23"/>
    <n v="80.555999999999997"/>
    <n v="3.5024347826086957"/>
    <n v="1.2190862452518954"/>
    <s v="구조물"/>
    <n v="0"/>
    <n v="0"/>
    <n v="9.6710400000000014"/>
    <m/>
    <s v="-"/>
    <s v="-"/>
    <s v="-"/>
    <s v="-"/>
    <s v="-"/>
    <n v="26864.000000000004"/>
    <n v="10"/>
    <n v="0"/>
    <n v="0.94199999999999995"/>
    <n v="0.98499999999999999"/>
    <n v="24926.299680000004"/>
    <n v="0"/>
    <s v="-"/>
    <n v="2532"/>
    <n v="27270"/>
    <n v="17168"/>
    <n v="27553"/>
    <n v="1.1053786704693906"/>
    <m/>
    <m/>
    <s v="x"/>
    <m/>
    <m/>
    <m/>
    <m/>
    <s v="ㅇ"/>
    <s v="ㅇ"/>
  </r>
  <r>
    <n v="742"/>
    <x v="736"/>
    <n v="825"/>
    <x v="11"/>
    <n v="12"/>
    <x v="87"/>
    <x v="736"/>
    <s v="영등포구 버드나루로24"/>
    <s v="㈜코텍에너지"/>
    <n v="21"/>
    <n v="68"/>
    <n v="3.2380952380952381"/>
    <n v="1.1270780501549731"/>
    <s v="구조물"/>
    <n v="0"/>
    <n v="0"/>
    <n v="8.8300800000000006"/>
    <m/>
    <s v="-"/>
    <s v="-"/>
    <s v="-"/>
    <s v="-"/>
    <s v="-"/>
    <n v="24528"/>
    <n v="15"/>
    <n v="40"/>
    <n v="0.94399999999999995"/>
    <n v="0.98499999999999999"/>
    <n v="22807.115519999996"/>
    <n v="0"/>
    <s v="-"/>
    <s v="-"/>
    <n v="20252"/>
    <n v="14823"/>
    <n v="21965"/>
    <n v="0.96307663197209092"/>
    <m/>
    <m/>
    <s v="x"/>
    <m/>
    <m/>
    <m/>
    <m/>
    <s v="ㅇ"/>
    <s v="ㅇ"/>
  </r>
  <r>
    <n v="741"/>
    <x v="737"/>
    <n v="771"/>
    <x v="11"/>
    <n v="12"/>
    <x v="87"/>
    <x v="737"/>
    <s v="은평구 갈현로15길 27-1"/>
    <s v="(주)에코스"/>
    <n v="41.4"/>
    <n v="145"/>
    <n v="3.5024154589371981"/>
    <n v="1.2190795192959269"/>
    <s v="구조물"/>
    <n v="0"/>
    <n v="0"/>
    <n v="17.407871999999998"/>
    <m/>
    <s v="-"/>
    <s v="-"/>
    <s v="-"/>
    <s v="-"/>
    <s v="-"/>
    <n v="48355.199999999997"/>
    <n v="15"/>
    <n v="10"/>
    <n v="0.96299999999999997"/>
    <n v="0.98499999999999999"/>
    <n v="45867.566735999993"/>
    <n v="0"/>
    <s v="-"/>
    <n v="1182"/>
    <n v="26283.91"/>
    <n v="26529.37"/>
    <n v="39755"/>
    <n v="0.86673444503428532"/>
    <m/>
    <s v="황사, 장마등 날씨에 따른  일조량 부족"/>
    <s v="x"/>
    <m/>
    <m/>
    <m/>
    <m/>
    <s v="ㅇ"/>
    <s v="ㅇ"/>
  </r>
  <r>
    <n v="746"/>
    <x v="738"/>
    <n v="898"/>
    <x v="11"/>
    <n v="9"/>
    <x v="88"/>
    <x v="738"/>
    <s v="동작구 사당동588-44 4번출구"/>
    <s v="㈜삼광산전"/>
    <n v="3"/>
    <n v="20"/>
    <n v="6.666666666666667"/>
    <n v="2.3204548091425918"/>
    <s v="구조물"/>
    <n v="0"/>
    <n v="0"/>
    <n v="1.2614400000000003"/>
    <m/>
    <s v="-"/>
    <s v="-"/>
    <s v="-"/>
    <s v="-"/>
    <s v="-"/>
    <n v="3504.0000000000005"/>
    <n v="5"/>
    <n v="-90"/>
    <n v="0.88300000000000001"/>
    <n v="0.98499999999999999"/>
    <n v="3047.6215200000001"/>
    <n v="0"/>
    <s v="-"/>
    <n v="631"/>
    <n v="2913"/>
    <n v="1956"/>
    <n v="3543.3599999999997"/>
    <n v="1.1626640567887838"/>
    <m/>
    <m/>
    <s v="x"/>
    <m/>
    <m/>
    <m/>
    <m/>
    <s v="ㅇ"/>
    <s v="ㅇ"/>
  </r>
  <r>
    <n v="747"/>
    <x v="739"/>
    <n v="870"/>
    <x v="11"/>
    <n v="9"/>
    <x v="88"/>
    <x v="739"/>
    <s v="동작구 사당동588-44 3번출구"/>
    <s v="㈜삼광산전"/>
    <n v="3"/>
    <n v="20"/>
    <n v="6.666666666666667"/>
    <n v="2.3204548091425918"/>
    <s v="구조물"/>
    <n v="0"/>
    <n v="0"/>
    <n v="1.2614400000000003"/>
    <m/>
    <s v="-"/>
    <s v="-"/>
    <s v="-"/>
    <s v="-"/>
    <s v="-"/>
    <n v="3504.0000000000005"/>
    <n v="5"/>
    <n v="90"/>
    <n v="0.88"/>
    <n v="0.98499999999999999"/>
    <n v="3037.2672000000002"/>
    <n v="0"/>
    <s v="-"/>
    <n v="573"/>
    <n v="2615"/>
    <n v="1752"/>
    <n v="3218"/>
    <n v="1.0595050708742384"/>
    <m/>
    <m/>
    <s v="x"/>
    <m/>
    <m/>
    <m/>
    <m/>
    <s v="ㅇ"/>
    <s v="ㅇ"/>
  </r>
  <r>
    <n v="748"/>
    <x v="740"/>
    <n v="901"/>
    <x v="11"/>
    <n v="9"/>
    <x v="88"/>
    <x v="740"/>
    <s v="관악구 남현동612-21 홈플러스 앞 정류장"/>
    <s v="㈜삼광산전"/>
    <n v="3"/>
    <n v="20"/>
    <n v="6.666666666666667"/>
    <n v="2.3204548091425918"/>
    <s v="구조물"/>
    <n v="0"/>
    <n v="0"/>
    <n v="1.2614400000000003"/>
    <m/>
    <s v="-"/>
    <s v="-"/>
    <s v="-"/>
    <s v="-"/>
    <s v="-"/>
    <n v="3504.0000000000005"/>
    <n v="5"/>
    <n v="-90"/>
    <n v="0.88300000000000001"/>
    <n v="0.98499999999999999"/>
    <n v="3047.6215200000001"/>
    <n v="0"/>
    <s v="-"/>
    <n v="638"/>
    <n v="2824"/>
    <n v="1929"/>
    <n v="3551.9700000000003"/>
    <n v="1.1654892107468777"/>
    <m/>
    <m/>
    <s v="x"/>
    <m/>
    <m/>
    <m/>
    <m/>
    <s v="ㅇ"/>
    <s v="ㅇ"/>
  </r>
  <r>
    <n v="749"/>
    <x v="741"/>
    <n v="775"/>
    <x v="11"/>
    <n v="9"/>
    <x v="88"/>
    <x v="741"/>
    <s v="서초구 방배동29-9"/>
    <s v="㈜삼광산전"/>
    <n v="3"/>
    <n v="20"/>
    <n v="6.666666666666667"/>
    <n v="2.3204548091425918"/>
    <s v="구조물"/>
    <n v="0"/>
    <n v="0"/>
    <n v="1.2614400000000003"/>
    <m/>
    <s v="-"/>
    <s v="-"/>
    <s v="-"/>
    <s v="-"/>
    <s v="-"/>
    <n v="3504.0000000000005"/>
    <n v="5"/>
    <n v="90"/>
    <n v="0.88"/>
    <n v="0.98499999999999999"/>
    <n v="3037.2672000000002"/>
    <n v="0"/>
    <s v="-"/>
    <n v="428"/>
    <n v="2304"/>
    <n v="1533"/>
    <n v="2676.33"/>
    <n v="0.88116383043283109"/>
    <m/>
    <s v="기후에 따른 발전효율 변동"/>
    <s v="x"/>
    <m/>
    <m/>
    <m/>
    <m/>
    <s v="ㅇ"/>
    <s v="ㅇ"/>
  </r>
  <r>
    <n v="743"/>
    <x v="742"/>
    <n v="768"/>
    <x v="11"/>
    <n v="11"/>
    <x v="20"/>
    <x v="742"/>
    <s v="송파구 잠실동 347"/>
    <s v="디아이케이㈜"/>
    <n v="6"/>
    <n v="27"/>
    <n v="4.5"/>
    <n v="1.5663069961712495"/>
    <s v="구조물"/>
    <n v="0"/>
    <n v="0"/>
    <n v="2.5228800000000007"/>
    <m/>
    <s v="-"/>
    <s v="-"/>
    <s v="-"/>
    <s v="-"/>
    <s v="-"/>
    <n v="7008.0000000000009"/>
    <n v="5"/>
    <n v="-30"/>
    <n v="0.93400000000000005"/>
    <n v="0.98499999999999999"/>
    <n v="6447.2899200000011"/>
    <n v="0"/>
    <s v="-"/>
    <n v="474"/>
    <n v="5545"/>
    <n v="3597.7"/>
    <n v="5532"/>
    <n v="0.8580349369491358"/>
    <m/>
    <s v="별도 사유 없음"/>
    <s v="x"/>
    <m/>
    <m/>
    <m/>
    <m/>
    <s v="ㅇ"/>
    <s v="ㅇ"/>
  </r>
  <r>
    <n v="744"/>
    <x v="743"/>
    <n v="754"/>
    <x v="11"/>
    <n v="11"/>
    <x v="20"/>
    <x v="743"/>
    <s v="강동구 동남로 610"/>
    <s v="디아이케이㈜"/>
    <n v="3"/>
    <n v="16"/>
    <n v="5.333333333333333"/>
    <n v="1.8563638473140733"/>
    <s v="구조물"/>
    <n v="0"/>
    <n v="0"/>
    <n v="1.2614400000000003"/>
    <m/>
    <s v="-"/>
    <s v="-"/>
    <s v="-"/>
    <s v="-"/>
    <s v="-"/>
    <n v="3504.0000000000005"/>
    <n v="5"/>
    <n v="-30"/>
    <n v="0.93400000000000005"/>
    <n v="0.98499999999999999"/>
    <n v="3223.6449600000005"/>
    <n v="0"/>
    <s v="-"/>
    <n v="203"/>
    <n v="2046.8"/>
    <n v="1322.9"/>
    <n v="1953.9"/>
    <n v="0.60611513496200886"/>
    <s v="주변환경 변화에 따른 음영"/>
    <s v="주변아파트 음영발생"/>
    <s v="x"/>
    <m/>
    <m/>
    <m/>
    <m/>
    <s v="ㅇ"/>
    <s v="ㅇ"/>
  </r>
  <r>
    <n v="745"/>
    <x v="744"/>
    <n v="770"/>
    <x v="11"/>
    <n v="11"/>
    <x v="20"/>
    <x v="744"/>
    <s v="송파구 방이동 88-32"/>
    <s v="디아이케이㈜"/>
    <n v="9"/>
    <n v="41"/>
    <n v="4.5555555555555554"/>
    <n v="1.5856441195807709"/>
    <s v="구조물"/>
    <n v="0"/>
    <n v="0"/>
    <n v="3.7843200000000001"/>
    <m/>
    <s v="-"/>
    <s v="-"/>
    <s v="-"/>
    <s v="-"/>
    <s v="-"/>
    <n v="10512"/>
    <n v="15"/>
    <n v="20"/>
    <n v="0.95899999999999996"/>
    <n v="0.98499999999999999"/>
    <n v="9929.7928799999991"/>
    <n v="0"/>
    <s v="-"/>
    <n v="886"/>
    <n v="8803"/>
    <n v="5883.3"/>
    <n v="8599"/>
    <n v="0.86597979473666531"/>
    <m/>
    <s v="송파나루역 인버터 전원불량으로 '20년 9월분 실적 누락 (조치완료 '20.10.13.)"/>
    <s v="x"/>
    <m/>
    <m/>
    <m/>
    <m/>
    <s v="ㅇ"/>
    <s v="ㅇ"/>
  </r>
  <r>
    <n v="751"/>
    <x v="745"/>
    <n v="814"/>
    <x v="11"/>
    <n v="9"/>
    <x v="22"/>
    <x v="745"/>
    <s v="중구 덕수궁길15"/>
    <s v="파루"/>
    <n v="30.24"/>
    <n v="104"/>
    <n v="3.4391534391534395"/>
    <n v="1.1970600205894324"/>
    <s v="구조물"/>
    <n v="0"/>
    <n v="0"/>
    <n v="12.715315199999999"/>
    <m/>
    <s v="-"/>
    <s v="-"/>
    <s v="-"/>
    <s v="-"/>
    <s v="-"/>
    <n v="35320.32"/>
    <m/>
    <m/>
    <n v="1"/>
    <n v="0.98499999999999999"/>
    <n v="34790.515200000002"/>
    <n v="0"/>
    <s v="-"/>
    <n v="9112"/>
    <n v="35106"/>
    <n v="21845"/>
    <n v="32886"/>
    <n v="0.9452576315972463"/>
    <m/>
    <m/>
    <s v="x"/>
    <m/>
    <m/>
    <m/>
    <m/>
    <s v="ㅇ"/>
    <s v="ㅇ"/>
  </r>
  <r>
    <n v="752"/>
    <x v="746"/>
    <n v="796"/>
    <x v="11"/>
    <n v="9"/>
    <x v="22"/>
    <x v="746"/>
    <s v="중구 덕수궁길15"/>
    <s v="파루"/>
    <n v="10.08"/>
    <n v="35"/>
    <n v="3.4722222222222223"/>
    <n v="1.2085702130950999"/>
    <s v="구조물"/>
    <n v="0"/>
    <n v="0"/>
    <n v="4.2384384000000006"/>
    <m/>
    <s v="-"/>
    <s v="-"/>
    <s v="-"/>
    <s v="-"/>
    <s v="-"/>
    <n v="11773.44"/>
    <m/>
    <m/>
    <n v="1"/>
    <n v="0.98499999999999999"/>
    <n v="11596.838400000001"/>
    <n v="0"/>
    <s v="-"/>
    <n v="2860"/>
    <n v="10879"/>
    <n v="7161"/>
    <n v="10655"/>
    <n v="0.91878489916700046"/>
    <m/>
    <m/>
    <s v="x"/>
    <m/>
    <m/>
    <m/>
    <m/>
    <s v="ㅇ"/>
    <s v="ㅇ"/>
  </r>
  <r>
    <n v="755"/>
    <x v="747"/>
    <n v="777"/>
    <x v="11"/>
    <n v="12"/>
    <x v="23"/>
    <x v="747"/>
    <s v="영등포구 영신로 200"/>
    <s v="쏠라리버㈜"/>
    <n v="12"/>
    <n v="33"/>
    <n v="2.75"/>
    <n v="0.95718760877131914"/>
    <m/>
    <n v="0"/>
    <n v="0"/>
    <n v="5.0457600000000014"/>
    <m/>
    <s v="-"/>
    <s v="-"/>
    <s v="-"/>
    <s v="-"/>
    <s v="-"/>
    <n v="14016.000000000002"/>
    <m/>
    <m/>
    <n v="1"/>
    <n v="0.98499999999999999"/>
    <n v="13805.760000000002"/>
    <n v="0"/>
    <s v="-"/>
    <n v="393"/>
    <n v="14169"/>
    <n v="6846"/>
    <n v="12200"/>
    <n v="0.88368912685719569"/>
    <m/>
    <m/>
    <s v="x"/>
    <m/>
    <m/>
    <m/>
    <m/>
    <s v="ㅇ"/>
    <s v="ㅇ"/>
  </r>
  <r>
    <n v="756"/>
    <x v="748"/>
    <n v="877"/>
    <x v="11"/>
    <n v="12"/>
    <x v="23"/>
    <x v="748"/>
    <s v="은평구 백련산로4길 16"/>
    <s v="㈜동이에코스"/>
    <n v="35.700000000000003"/>
    <n v="83"/>
    <n v="2.3249299719887953"/>
    <n v="0.80923424016317269"/>
    <m/>
    <n v="0"/>
    <n v="0"/>
    <n v="15.011136000000002"/>
    <m/>
    <s v="-"/>
    <s v="-"/>
    <s v="-"/>
    <s v="-"/>
    <s v="-"/>
    <n v="41697.600000000006"/>
    <m/>
    <m/>
    <n v="1"/>
    <n v="0.98499999999999999"/>
    <n v="41072.136000000006"/>
    <n v="0"/>
    <s v="-"/>
    <n v="1663"/>
    <n v="46405"/>
    <n v="26597"/>
    <n v="44900"/>
    <n v="1.0931985616720785"/>
    <m/>
    <m/>
    <s v="x"/>
    <m/>
    <m/>
    <m/>
    <m/>
    <s v="ㅇ"/>
    <s v="ㅇ"/>
  </r>
  <r>
    <n v="757"/>
    <x v="749"/>
    <n v="913"/>
    <x v="11"/>
    <n v="8"/>
    <x v="48"/>
    <x v="749"/>
    <s v="은평구 갈현로15길 27-1"/>
    <s v="지앤비쏠라㈜"/>
    <n v="10"/>
    <n v="17"/>
    <n v="1.7"/>
    <n v="0.59171597633136086"/>
    <s v="구조물"/>
    <n v="0"/>
    <n v="0"/>
    <n v="4.2047999999999996"/>
    <m/>
    <s v="-"/>
    <s v="-"/>
    <s v="-"/>
    <s v="-"/>
    <s v="-"/>
    <n v="11680"/>
    <n v="15"/>
    <n v="-40"/>
    <n v="0.94299999999999995"/>
    <n v="0.98499999999999999"/>
    <n v="10849.026400000001"/>
    <n v="0"/>
    <s v="-"/>
    <n v="1163"/>
    <n v="13450"/>
    <n v="8912"/>
    <n v="13878"/>
    <n v="1.2791931264910554"/>
    <m/>
    <m/>
    <s v="x"/>
    <m/>
    <m/>
    <m/>
    <m/>
    <s v="ㅇ"/>
    <s v="ㅇ"/>
  </r>
  <r>
    <n v="758"/>
    <x v="750"/>
    <n v="758"/>
    <x v="11"/>
    <n v="12"/>
    <x v="78"/>
    <x v="750"/>
    <s v="은평구 가좌로11나길 19"/>
    <s v="㈜에스디"/>
    <n v="6"/>
    <n v="13"/>
    <n v="2.1666666666666665"/>
    <n v="0.75414781297134226"/>
    <m/>
    <n v="0"/>
    <n v="0"/>
    <n v="2.5228800000000007"/>
    <m/>
    <s v="-"/>
    <s v="-"/>
    <s v="-"/>
    <s v="-"/>
    <s v="-"/>
    <n v="7008.0000000000009"/>
    <n v="20"/>
    <n v="32"/>
    <n v="0.96599999999999997"/>
    <n v="0.98499999999999999"/>
    <n v="6668.1820800000005"/>
    <n v="0"/>
    <s v="-"/>
    <s v="-"/>
    <n v="5427"/>
    <n v="3451"/>
    <n v="5265"/>
    <n v="0.78957052114569726"/>
    <s v="원인미상"/>
    <s v="긴 장마로 인해 여름철 발전량 감소"/>
    <s v="x"/>
    <m/>
    <m/>
    <m/>
    <m/>
    <s v="ㅇ"/>
    <s v="ㅇ"/>
  </r>
  <r>
    <n v="762"/>
    <x v="751"/>
    <n v="791"/>
    <x v="11"/>
    <n v="2"/>
    <x v="49"/>
    <x v="751"/>
    <s v="구로구 디지털로 34길 56"/>
    <s v="현대에코솔라"/>
    <n v="10.08"/>
    <n v="37"/>
    <n v="3.6706349206349205"/>
    <n v="1.2776313681291056"/>
    <s v="구조물"/>
    <n v="0"/>
    <n v="0"/>
    <n v="4.2384384000000006"/>
    <m/>
    <s v="-"/>
    <s v="-"/>
    <s v="-"/>
    <s v="-"/>
    <s v="-"/>
    <n v="11773.44"/>
    <n v="0"/>
    <n v="-40"/>
    <n v="0.88400000000000001"/>
    <n v="0.98499999999999999"/>
    <n v="10251.6051456"/>
    <n v="0"/>
    <s v="-"/>
    <n v="17000"/>
    <n v="17000"/>
    <n v="8720"/>
    <n v="9399"/>
    <n v="0.91683203425310045"/>
    <m/>
    <m/>
    <s v="x"/>
    <m/>
    <m/>
    <m/>
    <m/>
    <s v="ㅇ"/>
    <s v="ㅇ"/>
  </r>
  <r>
    <n v="759"/>
    <x v="752"/>
    <n v="907"/>
    <x v="11"/>
    <n v="3"/>
    <x v="49"/>
    <x v="752"/>
    <s v="강남구 테헤란로 629"/>
    <s v="㈜코텍에너지"/>
    <n v="6.12"/>
    <n v="18"/>
    <n v="2.9411764705882351"/>
    <n v="1.0237300628570256"/>
    <m/>
    <n v="0"/>
    <n v="0"/>
    <n v="2.5733376000000008"/>
    <m/>
    <s v="-"/>
    <s v="-"/>
    <s v="-"/>
    <s v="-"/>
    <s v="-"/>
    <n v="7148.1600000000008"/>
    <n v="10"/>
    <n v="-10"/>
    <n v="0.94099999999999995"/>
    <n v="0.98499999999999999"/>
    <n v="6625.5222816000005"/>
    <n v="0"/>
    <s v="-"/>
    <n v="6958"/>
    <n v="7513"/>
    <n v="4899"/>
    <n v="7968"/>
    <n v="1.2026221724630295"/>
    <m/>
    <m/>
    <s v="x"/>
    <m/>
    <m/>
    <m/>
    <m/>
    <s v="ㅇ"/>
    <s v="ㅇ"/>
  </r>
  <r>
    <n v="767"/>
    <x v="753"/>
    <n v="900"/>
    <x v="11"/>
    <n v="5"/>
    <x v="49"/>
    <x v="753"/>
    <s v="은평구 수색동 326-16"/>
    <s v="헥스파워시스템㈜"/>
    <n v="9.52"/>
    <n v="31"/>
    <n v="3.2563025210084033"/>
    <n v="1.1334154267345642"/>
    <s v="구조물"/>
    <n v="0"/>
    <n v="0"/>
    <n v="4.0029695999999992"/>
    <m/>
    <s v="-"/>
    <s v="-"/>
    <s v="-"/>
    <s v="-"/>
    <s v="-"/>
    <n v="11119.359999999999"/>
    <n v="0"/>
    <n v="60"/>
    <n v="0.88400000000000001"/>
    <n v="0.98499999999999999"/>
    <n v="9682.0715263999991"/>
    <n v="0"/>
    <s v="-"/>
    <n v="12800"/>
    <n v="11300"/>
    <n v="7711"/>
    <n v="11272"/>
    <n v="1.164213667422799"/>
    <m/>
    <m/>
    <s v="x"/>
    <m/>
    <m/>
    <m/>
    <m/>
    <s v="ㅇ"/>
    <s v="ㅇ"/>
  </r>
  <r>
    <n v="763"/>
    <x v="754"/>
    <n v="865"/>
    <x v="11"/>
    <n v="6"/>
    <x v="49"/>
    <x v="754"/>
    <s v="동작구 노량진로187"/>
    <s v="현대에코솔라"/>
    <n v="5"/>
    <n v="14"/>
    <n v="2.8"/>
    <n v="0.97459101983988849"/>
    <m/>
    <n v="0"/>
    <n v="0"/>
    <n v="2.1023999999999998"/>
    <m/>
    <s v="-"/>
    <s v="-"/>
    <s v="-"/>
    <s v="-"/>
    <s v="-"/>
    <n v="5840"/>
    <n v="15"/>
    <n v="-40"/>
    <n v="0.94299999999999995"/>
    <n v="0.98499999999999999"/>
    <n v="5424.5132000000003"/>
    <n v="0"/>
    <s v="-"/>
    <n v="6600"/>
    <n v="7200"/>
    <n v="4230"/>
    <n v="5687"/>
    <n v="1.0483890056715135"/>
    <m/>
    <m/>
    <s v="x"/>
    <m/>
    <m/>
    <m/>
    <m/>
    <s v="ㅇ"/>
    <s v="ㅇ"/>
  </r>
  <r>
    <n v="760"/>
    <x v="755"/>
    <n v="912"/>
    <x v="11"/>
    <n v="7"/>
    <x v="49"/>
    <x v="755"/>
    <s v="관악구 관악로97"/>
    <s v="현대에코솔라"/>
    <n v="20"/>
    <n v="52.57"/>
    <n v="2.6284999999999998"/>
    <n v="0.91489731987469536"/>
    <m/>
    <n v="0"/>
    <n v="0"/>
    <n v="8.4095999999999993"/>
    <m/>
    <s v="-"/>
    <s v="-"/>
    <s v="-"/>
    <s v="-"/>
    <s v="-"/>
    <n v="23360"/>
    <n v="10"/>
    <n v="-15"/>
    <n v="0.94099999999999995"/>
    <n v="0.98499999999999999"/>
    <n v="21652.033599999999"/>
    <n v="0"/>
    <s v="-"/>
    <n v="12303"/>
    <n v="25757"/>
    <n v="16106"/>
    <n v="27610"/>
    <n v="1.2751689060744853"/>
    <m/>
    <m/>
    <s v="x"/>
    <m/>
    <m/>
    <m/>
    <m/>
    <s v="ㅇ"/>
    <s v="ㅇ"/>
  </r>
  <r>
    <n v="764"/>
    <x v="756"/>
    <n v="766"/>
    <x v="11"/>
    <n v="7"/>
    <x v="49"/>
    <x v="756"/>
    <s v="영등포구 도림로212"/>
    <s v="현대에코솔라"/>
    <n v="6"/>
    <n v="13"/>
    <n v="2.1666666666666665"/>
    <n v="0.75414781297134226"/>
    <m/>
    <n v="0"/>
    <n v="0"/>
    <n v="2.5228800000000007"/>
    <m/>
    <s v="-"/>
    <s v="-"/>
    <s v="-"/>
    <s v="-"/>
    <s v="-"/>
    <n v="7008.0000000000009"/>
    <n v="20"/>
    <n v="-60"/>
    <n v="0.92400000000000004"/>
    <n v="0.98499999999999999"/>
    <n v="6378.261120000001"/>
    <n v="0"/>
    <s v="-"/>
    <n v="2668"/>
    <n v="6751"/>
    <n v="2830"/>
    <n v="5389"/>
    <n v="0.84490112565350717"/>
    <m/>
    <m/>
    <s v="x"/>
    <m/>
    <m/>
    <m/>
    <m/>
    <s v="ㅇ"/>
    <s v="ㅇ"/>
  </r>
  <r>
    <n v="765"/>
    <x v="757"/>
    <n v="916"/>
    <x v="11"/>
    <n v="7"/>
    <x v="49"/>
    <x v="757"/>
    <s v="관악구 은천로 54"/>
    <s v="현대에코솔라"/>
    <n v="10"/>
    <n v="26.943000000000001"/>
    <n v="2.6943000000000001"/>
    <n v="0.93780020884093285"/>
    <m/>
    <n v="0"/>
    <n v="0"/>
    <n v="4.2047999999999996"/>
    <m/>
    <s v="-"/>
    <s v="-"/>
    <s v="-"/>
    <s v="-"/>
    <s v="-"/>
    <n v="11680"/>
    <n v="7"/>
    <n v="8"/>
    <n v="0.94099999999999995"/>
    <n v="0.98499999999999999"/>
    <n v="10826.016799999999"/>
    <n v="0"/>
    <s v="-"/>
    <n v="5704"/>
    <n v="17795.2"/>
    <n v="7787"/>
    <n v="15574"/>
    <n v="1.4385715714019585"/>
    <m/>
    <m/>
    <s v="x"/>
    <m/>
    <m/>
    <m/>
    <m/>
    <s v="ㅇ"/>
    <s v="ㅇ"/>
  </r>
  <r>
    <n v="769"/>
    <x v="758"/>
    <n v="899"/>
    <x v="11"/>
    <n v="7"/>
    <x v="49"/>
    <x v="758"/>
    <s v="영등포구 의사당대로162"/>
    <s v="현대에코솔라"/>
    <n v="9"/>
    <n v="22"/>
    <n v="2.4444444444444446"/>
    <n v="0.8508334300189504"/>
    <m/>
    <n v="0"/>
    <n v="0"/>
    <n v="3.7843200000000001"/>
    <m/>
    <s v="-"/>
    <s v="-"/>
    <s v="-"/>
    <s v="-"/>
    <s v="-"/>
    <n v="10512"/>
    <n v="25"/>
    <n v="45"/>
    <n v="0.97"/>
    <n v="0.98499999999999999"/>
    <n v="10043.690399999999"/>
    <n v="0"/>
    <s v="-"/>
    <n v="4923"/>
    <n v="12583"/>
    <n v="7431"/>
    <n v="11682"/>
    <n v="1.1631182896677101"/>
    <m/>
    <m/>
    <s v="x"/>
    <m/>
    <m/>
    <m/>
    <m/>
    <s v="ㅇ"/>
    <s v="ㅇ"/>
  </r>
  <r>
    <n v="768"/>
    <x v="759"/>
    <n v="888"/>
    <x v="11"/>
    <n v="8"/>
    <x v="49"/>
    <x v="759"/>
    <s v="양천구 남부순환로448"/>
    <s v="현대에코솔라"/>
    <n v="9"/>
    <n v="25"/>
    <n v="2.7777777777777777"/>
    <n v="0.96685617047607986"/>
    <m/>
    <n v="0"/>
    <n v="0"/>
    <n v="3.7843200000000001"/>
    <m/>
    <s v="-"/>
    <s v="-"/>
    <s v="-"/>
    <s v="-"/>
    <s v="-"/>
    <n v="10512"/>
    <n v="3"/>
    <n v="0"/>
    <n v="0.94199999999999995"/>
    <n v="0.98499999999999999"/>
    <n v="9753.76944"/>
    <n v="0"/>
    <s v="-"/>
    <n v="3029"/>
    <n v="11592"/>
    <n v="7802"/>
    <n v="11079"/>
    <n v="1.1358685550393737"/>
    <m/>
    <m/>
    <s v="x"/>
    <m/>
    <m/>
    <m/>
    <m/>
    <s v="ㅇ"/>
    <s v="ㅇ"/>
  </r>
  <r>
    <n v="766"/>
    <x v="760"/>
    <n v="753"/>
    <x v="11"/>
    <n v="11"/>
    <x v="49"/>
    <x v="760"/>
    <s v="은평구 통일로 1031-21"/>
    <s v="지투파워㈜"/>
    <n v="138.41"/>
    <n v="737"/>
    <n v="5.324759771692797"/>
    <n v="1.8533796629630339"/>
    <s v="구조물"/>
    <n v="0"/>
    <n v="0"/>
    <n v="58.198636800000003"/>
    <m/>
    <s v="-"/>
    <s v="-"/>
    <s v="-"/>
    <s v="-"/>
    <s v="-"/>
    <n v="161662.88"/>
    <n v="5"/>
    <n v="0"/>
    <n v="0.94199999999999995"/>
    <n v="0.98499999999999999"/>
    <n v="150002.13646559999"/>
    <n v="0"/>
    <s v="-"/>
    <n v="9498"/>
    <n v="44010"/>
    <n v="76540"/>
    <n v="90666"/>
    <n v="0.60443139102083687"/>
    <s v="코로나19 휴관"/>
    <s v="역전력 발생으로 발전량 조절 : 코로나19로 인해 전문교육 및 기본교육 등이 취소됨에 따라 전력 소비가 줄어 인버터 자동 종료 및 발전 정지"/>
    <s v="x"/>
    <m/>
    <m/>
    <m/>
    <m/>
    <s v="ㅇ"/>
    <s v="ㅇ"/>
  </r>
  <r>
    <n v="761"/>
    <x v="761"/>
    <n v="917"/>
    <x v="11"/>
    <n v="12"/>
    <x v="49"/>
    <x v="761"/>
    <s v="관악구 봉천동 159303"/>
    <s v="(주)코텍에너지"/>
    <n v="10"/>
    <n v="28"/>
    <n v="2.8"/>
    <n v="0.97459101983988849"/>
    <m/>
    <n v="0"/>
    <n v="0"/>
    <n v="4.2047999999999996"/>
    <m/>
    <s v="-"/>
    <s v="-"/>
    <s v="-"/>
    <s v="-"/>
    <s v="-"/>
    <n v="11680"/>
    <n v="10"/>
    <n v="-13"/>
    <n v="0.93899999999999995"/>
    <n v="0.98499999999999999"/>
    <n v="10803.0072"/>
    <n v="0"/>
    <s v="-"/>
    <n v="114"/>
    <n v="16328"/>
    <n v="9524"/>
    <n v="16326"/>
    <n v="1.5112458686503514"/>
    <m/>
    <m/>
    <s v="x"/>
    <m/>
    <m/>
    <m/>
    <m/>
    <s v="ㅇ"/>
    <s v="ㅇ"/>
  </r>
  <r>
    <n v="770"/>
    <x v="762"/>
    <n v="830"/>
    <x v="11"/>
    <n v="12"/>
    <x v="49"/>
    <x v="762"/>
    <s v="중랑구 면목동 727-250"/>
    <s v="다쓰테크(기부채납)"/>
    <n v="3"/>
    <n v="14"/>
    <n v="4.666666666666667"/>
    <n v="1.6243183663998144"/>
    <s v="구조물"/>
    <n v="0"/>
    <n v="0"/>
    <n v="1.2614400000000003"/>
    <m/>
    <s v="-"/>
    <s v="-"/>
    <s v="-"/>
    <s v="-"/>
    <s v="-"/>
    <n v="3504.0000000000005"/>
    <n v="30"/>
    <n v="80"/>
    <n v="0.874"/>
    <n v="0.98499999999999999"/>
    <n v="3016.5585599999999"/>
    <n v="0"/>
    <s v="-"/>
    <n v="185"/>
    <n v="2490"/>
    <n v="1577"/>
    <n v="2943"/>
    <n v="0.97561507309176854"/>
    <m/>
    <m/>
    <s v="x"/>
    <m/>
    <m/>
    <m/>
    <m/>
    <s v="ㅇ"/>
    <s v="ㅇ"/>
  </r>
  <r>
    <n v="771"/>
    <x v="763"/>
    <n v="851"/>
    <x v="11"/>
    <n v="7"/>
    <x v="50"/>
    <x v="763"/>
    <s v="동대문구 서울시립대로 163"/>
    <s v="지투파워㈜"/>
    <n v="98"/>
    <n v="422.29500000000002"/>
    <n v="4.3091326530612246"/>
    <n v="1.499872138204394"/>
    <s v="BIPV"/>
    <n v="0"/>
    <n v="0"/>
    <n v="41.207040000000006"/>
    <m/>
    <s v="-"/>
    <s v="-"/>
    <s v="-"/>
    <s v="-"/>
    <s v="-"/>
    <n v="114464.00000000001"/>
    <m/>
    <m/>
    <n v="1"/>
    <n v="0.98499999999999999"/>
    <n v="112747.04000000001"/>
    <n v="0"/>
    <s v="-"/>
    <n v="37589"/>
    <n v="117151"/>
    <n v="72582"/>
    <n v="114336"/>
    <n v="1.0140931416026531"/>
    <m/>
    <m/>
    <s v="x"/>
    <m/>
    <m/>
    <m/>
    <m/>
    <s v="ㅇ"/>
    <s v="ㅇ"/>
  </r>
  <r>
    <n v="773"/>
    <x v="764"/>
    <n v="838"/>
    <x v="11"/>
    <n v="9"/>
    <x v="50"/>
    <x v="764"/>
    <s v="동대문구 서울시립대로 163"/>
    <s v="㈜에너솔라"/>
    <n v="78"/>
    <n v="222.483"/>
    <n v="2.8523461538461539"/>
    <n v="0.99281105250475243"/>
    <m/>
    <n v="0"/>
    <n v="0"/>
    <n v="32.797440000000009"/>
    <m/>
    <s v="-"/>
    <s v="-"/>
    <s v="-"/>
    <s v="-"/>
    <s v="-"/>
    <n v="91104.000000000015"/>
    <m/>
    <m/>
    <n v="1"/>
    <n v="0.98499999999999999"/>
    <n v="89737.440000000017"/>
    <n v="0"/>
    <s v="-"/>
    <n v="38824"/>
    <n v="63941"/>
    <n v="55854"/>
    <n v="89047"/>
    <n v="0.99230599847733547"/>
    <m/>
    <m/>
    <s v="x"/>
    <m/>
    <m/>
    <m/>
    <m/>
    <s v="ㅇ"/>
    <s v="ㅇ"/>
  </r>
  <r>
    <n v="772"/>
    <x v="765"/>
    <n v="858"/>
    <x v="11"/>
    <n v="12"/>
    <x v="50"/>
    <x v="765"/>
    <s v="동대문구 서울시립대로 163"/>
    <s v="㈜비앤엠"/>
    <n v="118"/>
    <n v="325.73200000000003"/>
    <n v="2.7604406779661019"/>
    <n v="0.9608216769808916"/>
    <m/>
    <n v="0"/>
    <n v="0"/>
    <n v="49.616639999999997"/>
    <m/>
    <s v="-"/>
    <s v="-"/>
    <s v="-"/>
    <s v="-"/>
    <s v="-"/>
    <n v="137824"/>
    <m/>
    <m/>
    <n v="1"/>
    <n v="0.98499999999999999"/>
    <n v="135756.63999999998"/>
    <n v="0"/>
    <s v="-"/>
    <n v="1212"/>
    <n v="97597"/>
    <n v="91222"/>
    <n v="140814"/>
    <n v="1.0372531317805156"/>
    <m/>
    <m/>
    <s v="x"/>
    <m/>
    <m/>
    <m/>
    <m/>
    <s v="ㅇ"/>
    <s v="ㅇ"/>
  </r>
  <r>
    <n v="774"/>
    <x v="766"/>
    <n v="896"/>
    <x v="11"/>
    <n v="8"/>
    <x v="24"/>
    <x v="766"/>
    <s v="경기도 과천시 장군마을 3길30"/>
    <s v="㈜에너솔라"/>
    <n v="18.09"/>
    <n v="57.5"/>
    <n v="3.1785516860143725"/>
    <n v="1.1063528318880516"/>
    <m/>
    <n v="0"/>
    <n v="0"/>
    <n v="7.6064832000000013"/>
    <m/>
    <s v="-"/>
    <s v="-"/>
    <s v="-"/>
    <s v="-"/>
    <s v="-"/>
    <n v="21129.120000000003"/>
    <n v="10"/>
    <n v="25"/>
    <n v="0.93600000000000005"/>
    <n v="0.98499999999999999"/>
    <n v="19480.203475200004"/>
    <n v="0"/>
    <s v="-"/>
    <n v="5823"/>
    <n v="21903"/>
    <n v="14509"/>
    <n v="22504"/>
    <n v="1.1552240729235479"/>
    <m/>
    <m/>
    <s v="x"/>
    <m/>
    <m/>
    <m/>
    <m/>
    <s v="ㅇ"/>
    <s v="ㅇ"/>
  </r>
  <r>
    <n v="775"/>
    <x v="767"/>
    <n v="894"/>
    <x v="11"/>
    <n v="12"/>
    <x v="2"/>
    <x v="767"/>
    <s v="서초구 남부순환로340길 58"/>
    <s v="㈜코텍에너지"/>
    <n v="42"/>
    <n v="115"/>
    <n v="2.7380952380952381"/>
    <n v="0.95304393946927879"/>
    <m/>
    <n v="0"/>
    <n v="0"/>
    <n v="17.660160000000001"/>
    <m/>
    <m/>
    <m/>
    <m/>
    <m/>
    <m/>
    <n v="49056"/>
    <m/>
    <m/>
    <n v="1"/>
    <n v="0.98499999999999999"/>
    <n v="48320.159999999996"/>
    <n v="0"/>
    <s v="-"/>
    <s v="-"/>
    <n v="57665"/>
    <n v="34166"/>
    <n v="55407"/>
    <n v="1.1466642494561277"/>
    <m/>
    <m/>
    <s v="x"/>
    <m/>
    <m/>
    <m/>
    <m/>
    <s v="ㅇ"/>
    <s v="ㅇ"/>
  </r>
  <r>
    <n v="776"/>
    <x v="768"/>
    <n v="908"/>
    <x v="11"/>
    <n v="11"/>
    <x v="89"/>
    <x v="768"/>
    <s v="경기 남양주시 고산로 171"/>
    <s v="㈜베스텍"/>
    <n v="20.100000000000001"/>
    <n v="52"/>
    <n v="2.5870646766169152"/>
    <n v="0.90047500056279672"/>
    <m/>
    <n v="0"/>
    <n v="0"/>
    <n v="8.4516480000000023"/>
    <m/>
    <s v="-"/>
    <s v="-"/>
    <s v="-"/>
    <s v="-"/>
    <s v="-"/>
    <n v="23476.800000000003"/>
    <n v="20"/>
    <n v="0"/>
    <n v="0.98099999999999998"/>
    <n v="0.98499999999999999"/>
    <n v="22685.279688000002"/>
    <n v="0"/>
    <s v="-"/>
    <n v="2104"/>
    <n v="28598"/>
    <n v="17719"/>
    <n v="28156"/>
    <n v="1.2411572785189808"/>
    <m/>
    <m/>
    <s v="x"/>
    <m/>
    <m/>
    <m/>
    <m/>
    <s v="ㅇ"/>
    <s v="ㅇ"/>
  </r>
  <r>
    <n v="777"/>
    <x v="769"/>
    <n v="903"/>
    <x v="11"/>
    <n v="11"/>
    <x v="89"/>
    <x v="769"/>
    <s v="경기 남양주시 고산로 171"/>
    <s v="지투파워㈜"/>
    <n v="67.2"/>
    <n v="177"/>
    <n v="2.6339285714285712"/>
    <n v="0.91678683307642572"/>
    <m/>
    <n v="0"/>
    <n v="0"/>
    <n v="28.256256000000004"/>
    <m/>
    <s v="-"/>
    <s v="-"/>
    <s v="-"/>
    <s v="-"/>
    <s v="-"/>
    <n v="78489.600000000006"/>
    <n v="25"/>
    <n v="-45"/>
    <n v="0.96099999999999997"/>
    <n v="0.98499999999999999"/>
    <n v="74297.078015999999"/>
    <n v="0"/>
    <s v="-"/>
    <n v="9939"/>
    <n v="86773"/>
    <n v="54073"/>
    <n v="87152"/>
    <n v="1.1730205591831171"/>
    <m/>
    <m/>
    <s v="x"/>
    <m/>
    <m/>
    <m/>
    <m/>
    <s v="ㅇ"/>
    <s v="ㅇ"/>
  </r>
  <r>
    <n v="782"/>
    <x v="770"/>
    <n v="780"/>
    <x v="11"/>
    <n v="11"/>
    <x v="90"/>
    <x v="770"/>
    <s v="강동구 암사동 산 10"/>
    <s v="㈜베스텍"/>
    <n v="48.6"/>
    <n v="135"/>
    <n v="2.7777777777777777"/>
    <n v="0.96685617047607986"/>
    <m/>
    <n v="0"/>
    <n v="0"/>
    <n v="20.435328000000005"/>
    <m/>
    <s v="-"/>
    <s v="-"/>
    <s v="-"/>
    <s v="-"/>
    <s v="-"/>
    <n v="56764.800000000003"/>
    <n v="20"/>
    <n v="45"/>
    <n v="0.94799999999999995"/>
    <n v="0.98499999999999999"/>
    <n v="53005.834944000002"/>
    <n v="0"/>
    <s v="-"/>
    <n v="3060"/>
    <n v="55169"/>
    <n v="27314"/>
    <n v="47705"/>
    <n v="0.89999525619018605"/>
    <m/>
    <s v="1월 중 현장점검으로 발전 일시중단"/>
    <s v="x"/>
    <m/>
    <m/>
    <m/>
    <m/>
    <s v="ㅇ"/>
    <s v="ㅇ"/>
  </r>
  <r>
    <n v="778"/>
    <x v="771"/>
    <n v="890"/>
    <x v="11"/>
    <n v="12"/>
    <x v="91"/>
    <x v="771"/>
    <s v="경기 하남시 서하남로 293"/>
    <s v="(주)코텍에너지"/>
    <n v="86"/>
    <n v="272"/>
    <n v="3.1627906976744184"/>
    <n v="1.1008669327095086"/>
    <s v="구조물"/>
    <n v="0"/>
    <n v="0"/>
    <n v="36.161279999999998"/>
    <m/>
    <s v="-"/>
    <s v="-"/>
    <s v="-"/>
    <s v="-"/>
    <s v="-"/>
    <n v="100448"/>
    <n v="15"/>
    <n v="0"/>
    <n v="0.96399999999999997"/>
    <n v="0.98499999999999999"/>
    <n v="95379.393919999988"/>
    <n v="0"/>
    <s v="-"/>
    <s v="-"/>
    <n v="104111"/>
    <n v="69472"/>
    <n v="108501"/>
    <n v="1.1375727559246795"/>
    <m/>
    <m/>
    <s v="x"/>
    <m/>
    <m/>
    <m/>
    <m/>
    <s v="ㅇ"/>
    <s v="ㅇ"/>
  </r>
  <r>
    <n v="779"/>
    <x v="772"/>
    <n v="889"/>
    <x v="11"/>
    <n v="12"/>
    <x v="92"/>
    <x v="772"/>
    <s v="광진구 광나루로 571"/>
    <s v="㈜베스텍"/>
    <n v="67"/>
    <n v="187"/>
    <n v="2.7910447761194028"/>
    <n v="0.97147399099178655"/>
    <m/>
    <n v="0"/>
    <n v="0"/>
    <n v="28.172160000000002"/>
    <m/>
    <s v="-"/>
    <s v="-"/>
    <s v="-"/>
    <s v="-"/>
    <s v="-"/>
    <n v="78256"/>
    <n v="17"/>
    <n v="33"/>
    <n v="0.96599999999999997"/>
    <n v="0.98499999999999999"/>
    <n v="74461.366559999995"/>
    <n v="0"/>
    <s v="-"/>
    <s v="-"/>
    <n v="89858"/>
    <n v="52051"/>
    <n v="84591"/>
    <n v="1.1360387796782869"/>
    <m/>
    <m/>
    <s v="x"/>
    <m/>
    <m/>
    <m/>
    <m/>
    <s v="ㅇ"/>
    <s v="ㅇ"/>
  </r>
  <r>
    <n v="780"/>
    <x v="773"/>
    <n v="872"/>
    <x v="11"/>
    <n v="12"/>
    <x v="93"/>
    <x v="773"/>
    <s v="동작구 여의대방로10길 97"/>
    <s v="㈜비앤엠"/>
    <n v="31"/>
    <n v="84"/>
    <n v="2.7096774193548385"/>
    <n v="0.9431525998450534"/>
    <m/>
    <n v="0"/>
    <n v="0"/>
    <n v="13.034879999999999"/>
    <m/>
    <s v="-"/>
    <s v="-"/>
    <s v="-"/>
    <s v="-"/>
    <s v="-"/>
    <n v="36208"/>
    <n v="35"/>
    <n v="0"/>
    <n v="1"/>
    <n v="0.98499999999999999"/>
    <n v="35664.879999999997"/>
    <n v="0"/>
    <s v="-"/>
    <n v="1020"/>
    <n v="38985"/>
    <n v="24711"/>
    <n v="38127"/>
    <n v="1.0690348600640183"/>
    <m/>
    <m/>
    <s v="x"/>
    <m/>
    <m/>
    <m/>
    <m/>
    <s v="ㅇ"/>
    <s v="ㅇ"/>
  </r>
  <r>
    <n v="781"/>
    <x v="774"/>
    <n v="820"/>
    <x v="11"/>
    <n v="12"/>
    <x v="93"/>
    <x v="774"/>
    <s v="동작구 여의대방로10길 97"/>
    <s v="삼광산전"/>
    <n v="13"/>
    <n v="31"/>
    <n v="2.3846153846153846"/>
    <n v="0.83000883557792704"/>
    <m/>
    <n v="0"/>
    <n v="0"/>
    <n v="5.46624"/>
    <m/>
    <s v="-"/>
    <s v="-"/>
    <s v="-"/>
    <s v="-"/>
    <s v="-"/>
    <n v="15184"/>
    <n v="35"/>
    <n v="0"/>
    <n v="1"/>
    <n v="0.98499999999999999"/>
    <n v="14956.24"/>
    <n v="0"/>
    <s v="-"/>
    <n v="264"/>
    <n v="14415"/>
    <n v="9257"/>
    <n v="14343.09"/>
    <n v="0.95900373355870194"/>
    <m/>
    <m/>
    <s v="x"/>
    <m/>
    <m/>
    <m/>
    <m/>
    <s v="ㅇ"/>
    <s v="ㅇ"/>
  </r>
  <r>
    <n v="783"/>
    <x v="775"/>
    <n v="897"/>
    <x v="11"/>
    <n v="12"/>
    <x v="25"/>
    <x v="775"/>
    <s v="영등포구 노들로 11"/>
    <s v="영동테크윈㈜"/>
    <n v="12"/>
    <n v="29"/>
    <n v="2.4166666666666665"/>
    <n v="0.84116486831418946"/>
    <m/>
    <n v="0"/>
    <n v="0"/>
    <n v="5.0457600000000014"/>
    <m/>
    <s v="-"/>
    <s v="-"/>
    <s v="-"/>
    <s v="-"/>
    <s v="-"/>
    <n v="14016.000000000002"/>
    <n v="25"/>
    <m/>
    <n v="1"/>
    <n v="0.98499999999999999"/>
    <n v="13805.760000000002"/>
    <n v="0"/>
    <s v="-"/>
    <n v="989"/>
    <n v="16382"/>
    <n v="10100"/>
    <n v="16044"/>
    <n v="1.1621236353522006"/>
    <m/>
    <m/>
    <s v="x"/>
    <m/>
    <m/>
    <m/>
    <m/>
    <s v="ㅇ"/>
    <s v="ㅇ"/>
  </r>
  <r>
    <n v="785"/>
    <x v="776"/>
    <n v="864"/>
    <x v="11"/>
    <n v="6"/>
    <x v="26"/>
    <x v="776"/>
    <s v="강서구 양천로 27길 279-23"/>
    <s v="이엔에이치㈜"/>
    <n v="15"/>
    <n v="44"/>
    <n v="2.9333333333333331"/>
    <n v="1.0210001160227402"/>
    <m/>
    <n v="0"/>
    <n v="0"/>
    <n v="6.3071999999999999"/>
    <m/>
    <s v="-"/>
    <s v="-"/>
    <s v="-"/>
    <s v="-"/>
    <s v="-"/>
    <n v="17520"/>
    <m/>
    <m/>
    <n v="1"/>
    <n v="0.98499999999999999"/>
    <n v="17257.2"/>
    <n v="0"/>
    <s v="-"/>
    <n v="8306"/>
    <n v="19723"/>
    <n v="12820"/>
    <n v="18092"/>
    <n v="1.0483740120065828"/>
    <m/>
    <m/>
    <s v="x"/>
    <m/>
    <m/>
    <m/>
    <m/>
    <s v="ㅇ"/>
    <s v="ㅇ"/>
  </r>
  <r>
    <n v="784"/>
    <x v="777"/>
    <n v="824"/>
    <x v="11"/>
    <n v="6"/>
    <x v="26"/>
    <x v="777"/>
    <s v="강동구 선사로 83-66"/>
    <s v="이앤에이치㈜"/>
    <n v="5.4"/>
    <n v="14"/>
    <n v="2.5925925925925926"/>
    <n v="0.90239909244434124"/>
    <m/>
    <n v="0"/>
    <n v="0"/>
    <n v="2.2705920000000006"/>
    <m/>
    <s v="-"/>
    <s v="-"/>
    <s v="-"/>
    <s v="-"/>
    <s v="-"/>
    <n v="6307.2000000000007"/>
    <m/>
    <m/>
    <n v="1"/>
    <n v="0.98499999999999999"/>
    <n v="6212.5920000000006"/>
    <n v="0"/>
    <s v="-"/>
    <s v="-"/>
    <s v="-"/>
    <n v="4130"/>
    <n v="5974"/>
    <n v="0.96159541782238389"/>
    <m/>
    <m/>
    <s v="x"/>
    <m/>
    <m/>
    <m/>
    <m/>
    <s v="ㅇ"/>
    <s v="ㅇ"/>
  </r>
  <r>
    <n v="786"/>
    <x v="778"/>
    <n v="857"/>
    <x v="11"/>
    <n v="6"/>
    <x v="26"/>
    <x v="778"/>
    <s v="광진구 강변북로 139"/>
    <s v="㈜에코스"/>
    <n v="12.16"/>
    <n v="42"/>
    <n v="3.4539473684210527"/>
    <n v="1.2022093172367045"/>
    <s v="구조물"/>
    <n v="0"/>
    <n v="0"/>
    <n v="5.1130368000000006"/>
    <m/>
    <s v="-"/>
    <s v="-"/>
    <s v="-"/>
    <s v="-"/>
    <s v="-"/>
    <n v="14202.880000000003"/>
    <m/>
    <m/>
    <n v="1"/>
    <n v="0.98499999999999999"/>
    <n v="13989.836800000003"/>
    <n v="0"/>
    <s v="-"/>
    <s v="-"/>
    <n v="11347"/>
    <n v="6677"/>
    <n v="14414"/>
    <n v="1.0303193815670528"/>
    <m/>
    <m/>
    <s v="x"/>
    <m/>
    <m/>
    <m/>
    <m/>
    <s v="ㅇ"/>
    <s v="ㅇ"/>
  </r>
  <r>
    <n v="787"/>
    <x v="779"/>
    <n v="909"/>
    <x v="11"/>
    <n v="6"/>
    <x v="26"/>
    <x v="779"/>
    <s v="마포구 한강난지로22"/>
    <s v="이앤에이치㈜"/>
    <n v="5"/>
    <n v="14"/>
    <n v="2.8"/>
    <n v="0.97459101983988849"/>
    <m/>
    <n v="0"/>
    <n v="0"/>
    <n v="2.1023999999999998"/>
    <m/>
    <s v="-"/>
    <s v="-"/>
    <s v="-"/>
    <s v="-"/>
    <s v="-"/>
    <n v="5840"/>
    <m/>
    <m/>
    <n v="1"/>
    <n v="0.98499999999999999"/>
    <n v="5752.4"/>
    <n v="0"/>
    <s v="-"/>
    <s v="-"/>
    <n v="7259"/>
    <n v="3604"/>
    <n v="7156"/>
    <n v="1.2440025033029694"/>
    <m/>
    <m/>
    <s v="x"/>
    <m/>
    <m/>
    <m/>
    <m/>
    <s v="ㅇ"/>
    <s v="ㅇ"/>
  </r>
  <r>
    <n v="788"/>
    <x v="780"/>
    <n v="866"/>
    <x v="11"/>
    <n v="8"/>
    <x v="27"/>
    <x v="780"/>
    <s v="용산구 효창원로 177-15"/>
    <s v="이엔에이치㈜"/>
    <n v="25"/>
    <n v="71"/>
    <n v="2.84"/>
    <n v="0.98851374869474407"/>
    <m/>
    <n v="0"/>
    <n v="0"/>
    <n v="10.512"/>
    <m/>
    <s v="-"/>
    <s v="-"/>
    <s v="-"/>
    <s v="-"/>
    <s v="-"/>
    <n v="29200"/>
    <n v="30"/>
    <n v="0"/>
    <n v="1"/>
    <n v="0.98499999999999999"/>
    <n v="28762"/>
    <n v="0"/>
    <s v="-"/>
    <n v="9249"/>
    <n v="32683"/>
    <n v="19047"/>
    <n v="30174"/>
    <n v="1.0490925526736667"/>
    <m/>
    <m/>
    <s v="x"/>
    <m/>
    <m/>
    <m/>
    <m/>
    <s v="ㅇ"/>
    <s v="ㅇ"/>
  </r>
  <r>
    <n v="750"/>
    <x v="781"/>
    <n v="850"/>
    <x v="11"/>
    <n v="9"/>
    <x v="29"/>
    <x v="781"/>
    <s v="중구 삼일대로231"/>
    <s v="지투파워㈜"/>
    <n v="43"/>
    <n v="103"/>
    <n v="2.3953488372093021"/>
    <n v="0.833744809331466"/>
    <m/>
    <n v="0"/>
    <n v="0"/>
    <n v="18.080639999999999"/>
    <m/>
    <s v="-"/>
    <s v="-"/>
    <s v="-"/>
    <s v="-"/>
    <s v="-"/>
    <n v="50224"/>
    <n v="25"/>
    <n v="40"/>
    <n v="0.96199999999999997"/>
    <n v="0.98499999999999999"/>
    <n v="47590.755679999995"/>
    <n v="0"/>
    <s v="-"/>
    <n v="18264"/>
    <n v="51232"/>
    <n v="31807"/>
    <n v="48229"/>
    <n v="1.0134110986657063"/>
    <m/>
    <m/>
    <s v="x"/>
    <m/>
    <m/>
    <m/>
    <m/>
    <s v="ㅇ"/>
    <s v="ㅇ"/>
  </r>
  <r>
    <n v="790"/>
    <x v="782"/>
    <n v="840"/>
    <x v="11"/>
    <n v="12"/>
    <x v="29"/>
    <x v="782"/>
    <s v="강북구 월계로173"/>
    <s v="풍성인더스"/>
    <n v="100"/>
    <n v="352"/>
    <n v="3.52"/>
    <n v="1.2252001392272884"/>
    <s v="구조물"/>
    <n v="0"/>
    <n v="0"/>
    <n v="42.048000000000002"/>
    <m/>
    <s v="-"/>
    <s v="-"/>
    <s v="-"/>
    <s v="-"/>
    <s v="-"/>
    <n v="116800"/>
    <n v="15"/>
    <n v="-20"/>
    <n v="0.95899999999999996"/>
    <n v="0.98499999999999999"/>
    <n v="110331.03199999999"/>
    <n v="0"/>
    <s v="-"/>
    <s v="-"/>
    <n v="101013"/>
    <n v="49496"/>
    <n v="109863.93"/>
    <n v="0.99576635882459619"/>
    <m/>
    <m/>
    <s v="x"/>
    <m/>
    <m/>
    <m/>
    <m/>
    <s v="ㅇ"/>
    <s v="ㅇ"/>
  </r>
  <r>
    <n v="789"/>
    <x v="783"/>
    <n v="818"/>
    <x v="11"/>
    <n v="12"/>
    <x v="29"/>
    <x v="783"/>
    <s v="중랑구 송림길 160"/>
    <s v="에이컴에너지"/>
    <n v="9"/>
    <n v="27"/>
    <n v="3"/>
    <n v="1.0442046641141662"/>
    <m/>
    <n v="0"/>
    <n v="0"/>
    <n v="3.7843200000000001"/>
    <m/>
    <s v="-"/>
    <s v="-"/>
    <s v="-"/>
    <s v="-"/>
    <s v="-"/>
    <n v="10512"/>
    <n v="15"/>
    <n v="40"/>
    <n v="0.94399999999999995"/>
    <n v="0.98499999999999999"/>
    <n v="9774.478079999999"/>
    <n v="0"/>
    <s v="-"/>
    <s v="-"/>
    <n v="9477"/>
    <n v="4644"/>
    <n v="9326"/>
    <n v="0.95411743969044749"/>
    <m/>
    <m/>
    <s v="x"/>
    <m/>
    <m/>
    <m/>
    <m/>
    <s v="ㅇ"/>
    <s v="ㅇ"/>
  </r>
  <r>
    <n v="791"/>
    <x v="784"/>
    <n v="833"/>
    <x v="11"/>
    <n v="12"/>
    <x v="30"/>
    <x v="784"/>
    <s v="마포구 월드컵로 243-60"/>
    <s v="에이컴에너지㈜"/>
    <n v="10.4"/>
    <n v="29"/>
    <n v="2.7884615384615383"/>
    <n v="0.97057484805483396"/>
    <m/>
    <n v="0"/>
    <n v="0"/>
    <n v="4.3729920000000009"/>
    <m/>
    <s v="-"/>
    <s v="-"/>
    <s v="-"/>
    <s v="-"/>
    <s v="-"/>
    <n v="12147.2"/>
    <m/>
    <m/>
    <n v="1"/>
    <n v="0.98499999999999999"/>
    <n v="11964.992"/>
    <n v="0"/>
    <s v="-"/>
    <s v="-"/>
    <s v="-"/>
    <n v="8478"/>
    <n v="11712"/>
    <n v="0.97885564821104765"/>
    <m/>
    <m/>
    <s v="x"/>
    <m/>
    <m/>
    <m/>
    <m/>
    <s v="ㅇ"/>
    <s v="ㅇ"/>
  </r>
  <r>
    <n v="792"/>
    <x v="785"/>
    <n v="893"/>
    <x v="11"/>
    <n v="10"/>
    <x v="67"/>
    <x v="785"/>
    <s v="강서구 마곡동로 161"/>
    <s v="(주)하나전기"/>
    <n v="131.19999999999999"/>
    <n v="451"/>
    <n v="3.4375000000000004"/>
    <n v="1.1964845109641491"/>
    <s v="구조물"/>
    <n v="0"/>
    <n v="0"/>
    <n v="55.166975999999991"/>
    <m/>
    <s v="-"/>
    <s v="-"/>
    <s v="-"/>
    <s v="-"/>
    <s v="-"/>
    <n v="153241.59999999998"/>
    <n v="20"/>
    <n v="40"/>
    <n v="0.95499999999999996"/>
    <n v="0.98499999999999999"/>
    <n v="144150.54207999996"/>
    <n v="0"/>
    <s v="-"/>
    <n v="33600"/>
    <n v="155709"/>
    <n v="106991"/>
    <n v="164992"/>
    <n v="1.1445811969852568"/>
    <m/>
    <m/>
    <s v="x"/>
    <m/>
    <m/>
    <m/>
    <m/>
    <s v="ㅇ"/>
    <s v="ㅇ"/>
  </r>
  <r>
    <n v="793"/>
    <x v="786"/>
    <n v="739"/>
    <x v="11"/>
    <n v="12"/>
    <x v="94"/>
    <x v="786"/>
    <s v="은평구 통일로 62길 7"/>
    <s v="(주)코텍에너지"/>
    <n v="45.36"/>
    <n v="128"/>
    <n v="2.821869488536155"/>
    <n v="0.98220309381697002"/>
    <m/>
    <n v="1.48"/>
    <n v="10.875955320399763"/>
    <n v="17.592972800000002"/>
    <s v="안전관리"/>
    <s v="-"/>
    <s v="-"/>
    <n v="0.57999999999999996"/>
    <n v="0.45"/>
    <n v="0.45"/>
    <n v="52980.480000000003"/>
    <n v="15"/>
    <n v="0"/>
    <n v="0.96399999999999997"/>
    <n v="0.98499999999999999"/>
    <n v="50307.084979200001"/>
    <n v="0"/>
    <s v="-"/>
    <n v="1898.1"/>
    <n v="58584.31"/>
    <n v="36653.129999999997"/>
    <n v="56736"/>
    <n v="1.1277934315506077"/>
    <m/>
    <m/>
    <s v="x"/>
    <m/>
    <m/>
    <m/>
    <m/>
    <s v="ㅇ"/>
    <s v="ㅇ"/>
  </r>
  <r>
    <n v="796"/>
    <x v="787"/>
    <n v="826"/>
    <x v="11"/>
    <n v="5"/>
    <x v="5"/>
    <x v="787"/>
    <s v="은평구 진관2로15-25"/>
    <s v="진희계전(한국)/카코(독일)"/>
    <n v="25.5"/>
    <n v="72"/>
    <n v="2.8235294117647061"/>
    <n v="0.98278086034274481"/>
    <m/>
    <n v="0"/>
    <n v="0"/>
    <n v="10.722240000000001"/>
    <m/>
    <s v="-"/>
    <s v="-"/>
    <s v="-"/>
    <s v="-"/>
    <s v="-"/>
    <n v="29784.000000000004"/>
    <m/>
    <m/>
    <n v="1"/>
    <n v="0.98499999999999999"/>
    <n v="29337.24"/>
    <n v="0"/>
    <s v="-"/>
    <n v="20038"/>
    <n v="30765"/>
    <n v="18517"/>
    <n v="28266.1"/>
    <n v="0.96348872627418247"/>
    <m/>
    <m/>
    <s v="x"/>
    <m/>
    <m/>
    <m/>
    <m/>
    <s v="ㅇ"/>
    <s v="ㅇ"/>
  </r>
  <r>
    <n v="795"/>
    <x v="788"/>
    <n v="732"/>
    <x v="11"/>
    <n v="5"/>
    <x v="5"/>
    <x v="788"/>
    <s v="양천구 신정로7길 17"/>
    <s v="쏠라리버㈜"/>
    <n v="20.399999999999999"/>
    <n v="58"/>
    <n v="2.8431372549019609"/>
    <n v="0.98960572742845831"/>
    <m/>
    <n v="0.5"/>
    <n v="8.169934640522877"/>
    <n v="8.0777920000000005"/>
    <m/>
    <s v="-"/>
    <s v="-"/>
    <n v="0.1"/>
    <n v="0.2"/>
    <n v="0.2"/>
    <n v="23827.200000000001"/>
    <m/>
    <m/>
    <n v="1"/>
    <n v="0.98499999999999999"/>
    <n v="23469.792000000001"/>
    <n v="0"/>
    <s v="-"/>
    <n v="18136"/>
    <n v="26824"/>
    <n v="16895"/>
    <n v="25376"/>
    <n v="1.0812196375664513"/>
    <m/>
    <s v="18,19,20년 설비소모품 교체"/>
    <s v="ㅇ"/>
    <s v="기타"/>
    <n v="0.2"/>
    <n v="1"/>
    <m/>
    <s v="ㅇ"/>
    <s v="ㅇ"/>
  </r>
  <r>
    <n v="794"/>
    <x v="789"/>
    <n v="741"/>
    <x v="11"/>
    <n v="5"/>
    <x v="5"/>
    <x v="789"/>
    <s v="양천구 중앙로310"/>
    <s v="진희계전(한국)/카코(독일)"/>
    <n v="20.399999999999999"/>
    <n v="58"/>
    <n v="2.8431372549019609"/>
    <n v="0.98960572742845831"/>
    <m/>
    <n v="1.3509000000000002"/>
    <n v="22.07352941176471"/>
    <n v="7.2268920000000003"/>
    <s v="안전관리, 소모품교체"/>
    <s v="-"/>
    <s v="-"/>
    <n v="0.13769999999999999"/>
    <n v="0.18360000000000001"/>
    <n v="1.0296000000000001"/>
    <n v="23827.200000000001"/>
    <m/>
    <m/>
    <n v="1"/>
    <n v="0.98499999999999999"/>
    <n v="23469.792000000001"/>
    <n v="0"/>
    <s v="-"/>
    <n v="17133"/>
    <n v="27072"/>
    <n v="15250"/>
    <n v="27051.5"/>
    <n v="1.1526092774916794"/>
    <m/>
    <s v="18년,19년 설비소모품 교체, 20년 전기안전관리대행 용역 월 \85,800"/>
    <s v="x"/>
    <m/>
    <m/>
    <m/>
    <m/>
    <s v="x"/>
    <s v="ㅇ"/>
  </r>
  <r>
    <n v="797"/>
    <x v="790"/>
    <n v="827"/>
    <x v="11"/>
    <n v="10"/>
    <x v="5"/>
    <x v="790"/>
    <s v="광진구 능동로216"/>
    <s v="㈜삼광산전"/>
    <n v="30"/>
    <n v="86"/>
    <n v="2.8666666666666667"/>
    <n v="0.99779556793131452"/>
    <m/>
    <n v="0"/>
    <n v="0"/>
    <n v="12.6144"/>
    <m/>
    <s v="-"/>
    <s v="-"/>
    <s v="-"/>
    <s v="-"/>
    <s v="-"/>
    <n v="35040"/>
    <m/>
    <m/>
    <n v="1"/>
    <n v="0.98499999999999999"/>
    <n v="34514.400000000001"/>
    <n v="0"/>
    <s v="-"/>
    <n v="1092"/>
    <n v="34865"/>
    <n v="22692"/>
    <n v="33379"/>
    <n v="0.967103585749716"/>
    <m/>
    <m/>
    <s v="x"/>
    <m/>
    <m/>
    <m/>
    <m/>
    <s v="ㅇ"/>
    <s v="ㅇ"/>
  </r>
  <r>
    <n v="798"/>
    <x v="791"/>
    <n v="844"/>
    <x v="11"/>
    <n v="10"/>
    <x v="5"/>
    <x v="791"/>
    <s v="광진구 능동로216"/>
    <s v="㈜삼광산전"/>
    <n v="50"/>
    <n v="143"/>
    <n v="2.86"/>
    <n v="0.99547511312217185"/>
    <m/>
    <n v="0"/>
    <n v="0"/>
    <n v="21.024000000000001"/>
    <m/>
    <s v="-"/>
    <s v="-"/>
    <s v="-"/>
    <s v="-"/>
    <s v="-"/>
    <n v="58400"/>
    <m/>
    <m/>
    <n v="1"/>
    <n v="0.98499999999999999"/>
    <n v="57524"/>
    <n v="0"/>
    <s v="-"/>
    <n v="9748"/>
    <n v="56422"/>
    <n v="37755"/>
    <n v="57756"/>
    <n v="1.0040330992281483"/>
    <m/>
    <m/>
    <s v="x"/>
    <m/>
    <m/>
    <m/>
    <m/>
    <s v="ㅇ"/>
    <s v="ㅇ"/>
  </r>
  <r>
    <n v="799"/>
    <x v="792"/>
    <n v="834"/>
    <x v="11"/>
    <n v="10"/>
    <x v="5"/>
    <x v="792"/>
    <s v="광진구 능동로216"/>
    <s v="㈜삼광산전"/>
    <n v="140"/>
    <n v="402"/>
    <n v="2.8714285714285714"/>
    <n v="0.99945303565213062"/>
    <m/>
    <n v="0"/>
    <n v="0"/>
    <n v="58.867199999999997"/>
    <m/>
    <s v="-"/>
    <s v="-"/>
    <s v="-"/>
    <s v="-"/>
    <s v="-"/>
    <n v="163520"/>
    <m/>
    <m/>
    <n v="1"/>
    <n v="0.98499999999999999"/>
    <n v="161067.20000000001"/>
    <n v="0"/>
    <s v="-"/>
    <n v="12067"/>
    <n v="158678"/>
    <n v="101767"/>
    <n v="157671"/>
    <n v="0.97891439101195021"/>
    <m/>
    <m/>
    <s v="x"/>
    <m/>
    <m/>
    <m/>
    <m/>
    <s v="ㅇ"/>
    <s v="ㅇ"/>
  </r>
  <r>
    <n v="800"/>
    <x v="793"/>
    <n v="879"/>
    <x v="11"/>
    <n v="10"/>
    <x v="5"/>
    <x v="793"/>
    <s v="광진구 능동로216"/>
    <s v="㈜삼광산전"/>
    <n v="20"/>
    <n v="57"/>
    <n v="2.85"/>
    <n v="0.99199443090845796"/>
    <m/>
    <n v="0"/>
    <n v="0"/>
    <n v="8.4095999999999993"/>
    <m/>
    <s v="-"/>
    <s v="-"/>
    <s v="-"/>
    <s v="-"/>
    <s v="-"/>
    <n v="23360"/>
    <m/>
    <m/>
    <n v="1"/>
    <n v="0.98499999999999999"/>
    <n v="23009.599999999999"/>
    <n v="0"/>
    <s v="-"/>
    <n v="4585"/>
    <n v="25959"/>
    <n v="16135"/>
    <n v="25254"/>
    <n v="1.0975418955566374"/>
    <m/>
    <m/>
    <s v="x"/>
    <m/>
    <m/>
    <m/>
    <m/>
    <s v="ㅇ"/>
    <s v="ㅇ"/>
  </r>
  <r>
    <n v="801"/>
    <x v="794"/>
    <n v="822"/>
    <x v="11"/>
    <n v="10"/>
    <x v="5"/>
    <x v="794"/>
    <s v="광진구 능동로216"/>
    <s v="㈜삼광산전"/>
    <n v="30"/>
    <n v="86"/>
    <n v="2.8666666666666667"/>
    <n v="0.99779556793131452"/>
    <m/>
    <n v="0"/>
    <n v="0"/>
    <n v="12.6144"/>
    <m/>
    <s v="-"/>
    <s v="-"/>
    <s v="-"/>
    <s v="-"/>
    <s v="-"/>
    <n v="35040"/>
    <m/>
    <m/>
    <n v="1"/>
    <n v="0.98499999999999999"/>
    <n v="34514.400000000001"/>
    <n v="0"/>
    <s v="-"/>
    <n v="765"/>
    <n v="33575"/>
    <n v="21586"/>
    <n v="33174"/>
    <n v="0.96116403588067589"/>
    <m/>
    <m/>
    <s v="x"/>
    <m/>
    <m/>
    <m/>
    <m/>
    <s v="ㅇ"/>
    <s v="ㅇ"/>
  </r>
  <r>
    <n v="802"/>
    <x v="795"/>
    <n v="869"/>
    <x v="11"/>
    <n v="12"/>
    <x v="31"/>
    <x v="795"/>
    <s v="강서구 발산로 40"/>
    <s v="이솔라텍㈜"/>
    <n v="56.32"/>
    <n v="99"/>
    <n v="1.7578125"/>
    <n v="0.61183867037939432"/>
    <m/>
    <n v="0"/>
    <n v="0"/>
    <n v="23.681433600000002"/>
    <m/>
    <s v="-"/>
    <s v="-"/>
    <s v="-"/>
    <s v="-"/>
    <s v="-"/>
    <n v="65781.760000000009"/>
    <n v="25"/>
    <n v="0"/>
    <n v="0.99"/>
    <n v="0.98499999999999999"/>
    <n v="64147.083264000008"/>
    <n v="0"/>
    <s v="-"/>
    <n v="2420"/>
    <n v="58176"/>
    <n v="47310"/>
    <n v="67802"/>
    <n v="1.056977130526076"/>
    <m/>
    <m/>
    <s v="x"/>
    <m/>
    <m/>
    <m/>
    <m/>
    <s v="ㅇ"/>
    <s v="ㅇ"/>
  </r>
  <r>
    <n v="804"/>
    <x v="796"/>
    <n v="786"/>
    <x v="11"/>
    <n v="9"/>
    <x v="6"/>
    <x v="796"/>
    <s v="중구 다산로 32"/>
    <s v="㈜에너솔라"/>
    <n v="85"/>
    <n v="200"/>
    <n v="2.3529411764705883"/>
    <n v="0.8189840502856206"/>
    <m/>
    <n v="0"/>
    <n v="0"/>
    <n v="35.7408"/>
    <m/>
    <s v="-"/>
    <s v="-"/>
    <s v="-"/>
    <s v="-"/>
    <s v="-"/>
    <n v="99280"/>
    <m/>
    <m/>
    <n v="1"/>
    <n v="0.98499999999999999"/>
    <n v="97790.8"/>
    <n v="0"/>
    <s v="-"/>
    <s v="-"/>
    <n v="99653"/>
    <n v="45844"/>
    <n v="88900"/>
    <n v="0.90908347206485673"/>
    <m/>
    <m/>
    <s v="x"/>
    <m/>
    <m/>
    <m/>
    <m/>
    <s v="ㅇ"/>
    <s v="ㅇ"/>
  </r>
  <r>
    <n v="810"/>
    <x v="797"/>
    <n v="787"/>
    <x v="11"/>
    <n v="9"/>
    <x v="6"/>
    <x v="797"/>
    <s v="성동구 옥수동 562"/>
    <s v="㈜에너솔라"/>
    <n v="74.8"/>
    <n v="176"/>
    <n v="2.3529411764705883"/>
    <n v="0.8189840502856206"/>
    <m/>
    <n v="0"/>
    <n v="0"/>
    <n v="31.451903999999999"/>
    <m/>
    <s v="-"/>
    <s v="-"/>
    <s v="-"/>
    <s v="-"/>
    <s v="-"/>
    <n v="87366.400000000009"/>
    <m/>
    <m/>
    <n v="1"/>
    <n v="0.98499999999999999"/>
    <n v="86055.90400000001"/>
    <n v="0"/>
    <s v="-"/>
    <s v="-"/>
    <n v="51975"/>
    <n v="40115"/>
    <n v="78322"/>
    <n v="0.91012930385345781"/>
    <m/>
    <m/>
    <s v="x"/>
    <m/>
    <m/>
    <m/>
    <m/>
    <s v="ㅇ"/>
    <s v="ㅇ"/>
  </r>
  <r>
    <n v="811"/>
    <x v="798"/>
    <n v="784"/>
    <x v="11"/>
    <n v="9"/>
    <x v="6"/>
    <x v="798"/>
    <s v="성동구 무학로 50"/>
    <s v="㈜에너솔라"/>
    <n v="75.48"/>
    <n v="177"/>
    <n v="2.3449920508744038"/>
    <n v="0.8162172122778989"/>
    <m/>
    <n v="0"/>
    <n v="0"/>
    <n v="31.737830400000007"/>
    <m/>
    <s v="-"/>
    <s v="-"/>
    <s v="-"/>
    <s v="-"/>
    <s v="-"/>
    <n v="88160.640000000014"/>
    <m/>
    <m/>
    <n v="1"/>
    <n v="0.98499999999999999"/>
    <n v="86838.230400000015"/>
    <n v="0"/>
    <s v="-"/>
    <n v="19551"/>
    <n v="78204"/>
    <n v="45619"/>
    <n v="78812"/>
    <n v="0.90757261677225498"/>
    <m/>
    <m/>
    <s v="x"/>
    <m/>
    <m/>
    <m/>
    <m/>
    <s v="ㅇ"/>
    <s v="ㅇ"/>
  </r>
  <r>
    <n v="816"/>
    <x v="799"/>
    <n v="794"/>
    <x v="11"/>
    <n v="9"/>
    <x v="6"/>
    <x v="799"/>
    <s v="구로구 항동 산 50-3"/>
    <s v="㈜한양전공"/>
    <n v="36.72"/>
    <n v="132"/>
    <n v="3.5947712418300655"/>
    <n v="1.2512256323808093"/>
    <s v="구조물"/>
    <n v="0"/>
    <n v="0"/>
    <n v="15.440025600000002"/>
    <m/>
    <s v="-"/>
    <s v="-"/>
    <s v="-"/>
    <s v="-"/>
    <s v="-"/>
    <n v="42888.959999999999"/>
    <m/>
    <m/>
    <n v="1"/>
    <n v="0.98499999999999999"/>
    <n v="42245.625599999999"/>
    <n v="0"/>
    <s v="-"/>
    <n v="14535"/>
    <n v="40350"/>
    <n v="19609"/>
    <n v="38799"/>
    <n v="0.91841461568981952"/>
    <m/>
    <m/>
    <s v="x"/>
    <m/>
    <m/>
    <m/>
    <m/>
    <s v="ㅇ"/>
    <s v="ㅇ"/>
  </r>
  <r>
    <n v="813"/>
    <x v="800"/>
    <n v="792"/>
    <x v="11"/>
    <n v="9"/>
    <x v="6"/>
    <x v="800"/>
    <s v="성동구 행당로8길 8"/>
    <s v="㈜에너솔라"/>
    <n v="14.96"/>
    <n v="35"/>
    <n v="2.3395721925133688"/>
    <n v="0.81433073181808857"/>
    <m/>
    <n v="0"/>
    <n v="0"/>
    <n v="6.2903808000000021"/>
    <m/>
    <s v="-"/>
    <s v="-"/>
    <s v="-"/>
    <s v="-"/>
    <s v="-"/>
    <n v="17473.280000000002"/>
    <m/>
    <m/>
    <n v="1"/>
    <n v="0.98499999999999999"/>
    <n v="17211.180800000002"/>
    <n v="0"/>
    <s v="-"/>
    <n v="3933"/>
    <n v="15732"/>
    <n v="9177"/>
    <n v="15790"/>
    <n v="0.91742688566725172"/>
    <m/>
    <m/>
    <s v="x"/>
    <m/>
    <m/>
    <m/>
    <m/>
    <s v="ㅇ"/>
    <s v="ㅇ"/>
  </r>
  <r>
    <n v="814"/>
    <x v="801"/>
    <n v="782"/>
    <x v="11"/>
    <n v="9"/>
    <x v="6"/>
    <x v="801"/>
    <s v="성동구 고산자로 177"/>
    <s v="㈜에너솔라"/>
    <n v="14.96"/>
    <n v="35"/>
    <n v="2.3395721925133688"/>
    <n v="0.81433073181808857"/>
    <m/>
    <n v="0"/>
    <n v="0"/>
    <n v="6.2903808000000021"/>
    <m/>
    <s v="-"/>
    <s v="-"/>
    <s v="-"/>
    <s v="-"/>
    <s v="-"/>
    <n v="17473.280000000002"/>
    <m/>
    <m/>
    <n v="1"/>
    <n v="0.98499999999999999"/>
    <n v="17211.180800000002"/>
    <n v="0"/>
    <s v="-"/>
    <n v="433"/>
    <n v="12818"/>
    <n v="7980"/>
    <n v="15579"/>
    <n v="0.90516741303420611"/>
    <m/>
    <m/>
    <s v="x"/>
    <m/>
    <m/>
    <m/>
    <m/>
    <s v="ㅇ"/>
    <s v="ㅇ"/>
  </r>
  <r>
    <n v="805"/>
    <x v="802"/>
    <n v="875"/>
    <x v="11"/>
    <n v="11"/>
    <x v="6"/>
    <x v="802"/>
    <s v="서대문구 독립문로14길 33"/>
    <s v="㈜현대SWD산업"/>
    <n v="30.24"/>
    <n v="70"/>
    <n v="2.3148148148148149"/>
    <n v="0.80571347539673333"/>
    <m/>
    <n v="0"/>
    <n v="0"/>
    <n v="12.715315199999999"/>
    <m/>
    <s v="-"/>
    <s v="-"/>
    <s v="-"/>
    <s v="-"/>
    <s v="-"/>
    <n v="35320.32"/>
    <m/>
    <m/>
    <n v="1"/>
    <n v="0.98499999999999999"/>
    <n v="34790.515200000002"/>
    <n v="0"/>
    <s v="-"/>
    <s v="-"/>
    <n v="36765"/>
    <n v="23410"/>
    <n v="37637"/>
    <n v="1.0818178398231941"/>
    <m/>
    <m/>
    <s v="x"/>
    <m/>
    <m/>
    <m/>
    <m/>
    <s v="ㅇ"/>
    <s v="ㅇ"/>
  </r>
  <r>
    <n v="806"/>
    <x v="803"/>
    <n v="887"/>
    <x v="11"/>
    <n v="11"/>
    <x v="6"/>
    <x v="803"/>
    <s v="은평구 백련산로2길 39"/>
    <s v="㈜현대SWD산업"/>
    <n v="15.12"/>
    <n v="35"/>
    <n v="2.3148148148148149"/>
    <n v="0.80571347539673333"/>
    <m/>
    <n v="0"/>
    <n v="0"/>
    <n v="6.3576575999999996"/>
    <m/>
    <s v="-"/>
    <s v="-"/>
    <s v="-"/>
    <s v="-"/>
    <s v="-"/>
    <n v="17660.16"/>
    <m/>
    <m/>
    <n v="1"/>
    <n v="0.98499999999999999"/>
    <n v="17395.257600000001"/>
    <n v="0"/>
    <s v="-"/>
    <s v="-"/>
    <n v="21120"/>
    <n v="12113"/>
    <n v="19544"/>
    <n v="1.1235246093739939"/>
    <m/>
    <m/>
    <s v="x"/>
    <m/>
    <m/>
    <m/>
    <m/>
    <s v="ㅇ"/>
    <s v="ㅇ"/>
  </r>
  <r>
    <n v="807"/>
    <x v="804"/>
    <n v="808"/>
    <x v="11"/>
    <n v="11"/>
    <x v="6"/>
    <x v="804"/>
    <s v="은평구 백련산로2길 42"/>
    <s v="㈜현대SWD산업"/>
    <n v="30.24"/>
    <n v="70"/>
    <n v="2.3148148148148149"/>
    <n v="0.80571347539673333"/>
    <m/>
    <n v="0"/>
    <n v="0"/>
    <n v="12.715315199999999"/>
    <m/>
    <s v="-"/>
    <s v="-"/>
    <s v="-"/>
    <s v="-"/>
    <s v="-"/>
    <n v="35320.32"/>
    <m/>
    <m/>
    <n v="1"/>
    <n v="0.98499999999999999"/>
    <n v="34790.515200000002"/>
    <n v="0"/>
    <s v="-"/>
    <s v="-"/>
    <n v="28996"/>
    <n v="16200"/>
    <n v="32413"/>
    <n v="0.93166197205380841"/>
    <m/>
    <m/>
    <s v="x"/>
    <m/>
    <m/>
    <m/>
    <m/>
    <s v="ㅇ"/>
    <s v="ㅇ"/>
  </r>
  <r>
    <n v="808"/>
    <x v="805"/>
    <n v="878"/>
    <x v="11"/>
    <n v="11"/>
    <x v="6"/>
    <x v="805"/>
    <s v="은평구 백련산로2길 46"/>
    <s v="㈜현대SWD산업"/>
    <n v="30.24"/>
    <n v="70"/>
    <n v="2.3148148148148149"/>
    <n v="0.80571347539673333"/>
    <m/>
    <n v="0"/>
    <n v="0"/>
    <n v="12.715315199999999"/>
    <m/>
    <s v="-"/>
    <s v="-"/>
    <s v="-"/>
    <s v="-"/>
    <s v="-"/>
    <n v="35320.32"/>
    <m/>
    <m/>
    <n v="1"/>
    <n v="0.98499999999999999"/>
    <n v="34790.515200000002"/>
    <n v="0"/>
    <s v="-"/>
    <s v="-"/>
    <n v="31130"/>
    <n v="23043"/>
    <n v="38184"/>
    <n v="1.0975405158702565"/>
    <m/>
    <m/>
    <s v="x"/>
    <m/>
    <m/>
    <m/>
    <m/>
    <s v="ㅇ"/>
    <s v="ㅇ"/>
  </r>
  <r>
    <n v="809"/>
    <x v="806"/>
    <n v="839"/>
    <x v="11"/>
    <n v="11"/>
    <x v="6"/>
    <x v="806"/>
    <s v="은평구 불광로2길 27"/>
    <s v="㈜현대SWD산업"/>
    <n v="20.16"/>
    <n v="47"/>
    <n v="2.3313492063492065"/>
    <n v="0.81146857164956709"/>
    <m/>
    <n v="0"/>
    <n v="0"/>
    <n v="8.4768768000000012"/>
    <m/>
    <s v="-"/>
    <s v="-"/>
    <s v="-"/>
    <s v="-"/>
    <s v="-"/>
    <n v="23546.880000000001"/>
    <m/>
    <m/>
    <n v="1"/>
    <n v="0.98499999999999999"/>
    <n v="23193.676800000001"/>
    <n v="0"/>
    <s v="-"/>
    <s v="-"/>
    <n v="19273"/>
    <n v="12756"/>
    <n v="23052"/>
    <n v="0.99389157651795845"/>
    <m/>
    <m/>
    <s v="x"/>
    <m/>
    <m/>
    <m/>
    <m/>
    <s v="ㅇ"/>
    <s v="ㅇ"/>
  </r>
  <r>
    <n v="754"/>
    <x v="807"/>
    <n v="757"/>
    <x v="11"/>
    <n v="11"/>
    <x v="6"/>
    <x v="807"/>
    <s v="마포구 월드컵로42길 13"/>
    <s v="에이컴에너지㈜"/>
    <n v="71"/>
    <n v="228"/>
    <n v="3.211267605633803"/>
    <n v="1.1177402038405162"/>
    <s v="구조물"/>
    <n v="0"/>
    <n v="0"/>
    <n v="29.85408"/>
    <m/>
    <s v="-"/>
    <s v="-"/>
    <s v="-"/>
    <s v="-"/>
    <s v="-"/>
    <n v="82928"/>
    <n v="15"/>
    <n v="-40"/>
    <n v="0.94299999999999995"/>
    <n v="0.98499999999999999"/>
    <n v="77028.087440000003"/>
    <n v="0"/>
    <s v="-"/>
    <n v="4937"/>
    <n v="65955"/>
    <n v="41299"/>
    <n v="58823"/>
    <n v="0.7636565044642889"/>
    <s v="원인미상"/>
    <s v="2020년도 6월 10일부터 8월 중순까지 장기간 장마와 9월부터 태풍(3개) 북상 등 기상변화가 발전양에 영향을 준것으로 판단"/>
    <s v="x"/>
    <m/>
    <m/>
    <m/>
    <m/>
    <s v="ㅇ"/>
    <s v="ㅇ"/>
  </r>
  <r>
    <n v="803"/>
    <x v="808"/>
    <n v="823"/>
    <x v="11"/>
    <n v="11"/>
    <x v="6"/>
    <x v="808"/>
    <s v="노원구 노원로19길 23"/>
    <s v="㈜에이스쏠라"/>
    <n v="50.4"/>
    <n v="119"/>
    <n v="2.3611111111111112"/>
    <n v="0.82182774490466792"/>
    <m/>
    <n v="0"/>
    <n v="0"/>
    <n v="21.192191999999995"/>
    <m/>
    <s v="-"/>
    <s v="-"/>
    <s v="-"/>
    <s v="-"/>
    <s v="-"/>
    <n v="58867.199999999997"/>
    <m/>
    <m/>
    <n v="1"/>
    <n v="0.98499999999999999"/>
    <n v="57984.191999999995"/>
    <n v="0"/>
    <s v="-"/>
    <s v="-"/>
    <n v="56619"/>
    <n v="31750"/>
    <n v="55743"/>
    <n v="0.96134822401250331"/>
    <m/>
    <m/>
    <s v="x"/>
    <m/>
    <m/>
    <m/>
    <m/>
    <s v="ㅇ"/>
    <s v="ㅇ"/>
  </r>
  <r>
    <n v="817"/>
    <x v="809"/>
    <n v="841"/>
    <x v="11"/>
    <n v="11"/>
    <x v="6"/>
    <x v="809"/>
    <s v="서대문구 통일로 553"/>
    <s v="㈜현대SWD산업"/>
    <n v="20.16"/>
    <n v="35"/>
    <n v="1.7361111111111112"/>
    <n v="0.60428510654754997"/>
    <m/>
    <n v="0"/>
    <n v="0"/>
    <n v="8.4768768000000012"/>
    <m/>
    <s v="-"/>
    <s v="-"/>
    <s v="-"/>
    <s v="-"/>
    <s v="-"/>
    <n v="23546.880000000001"/>
    <m/>
    <m/>
    <n v="1"/>
    <n v="0.98499999999999999"/>
    <n v="23193.676800000001"/>
    <n v="0"/>
    <s v="-"/>
    <s v="-"/>
    <n v="18482"/>
    <n v="12278"/>
    <n v="23112"/>
    <n v="0.99647848848182619"/>
    <m/>
    <m/>
    <s v="x"/>
    <m/>
    <m/>
    <m/>
    <m/>
    <s v="ㅇ"/>
    <s v="ㅇ"/>
  </r>
  <r>
    <n v="815"/>
    <x v="810"/>
    <n v="836"/>
    <x v="11"/>
    <n v="11"/>
    <x v="6"/>
    <x v="810"/>
    <s v="서대문구 세검정로 134"/>
    <s v="㈜현대SWD산업"/>
    <n v="25.2"/>
    <n v="47"/>
    <n v="1.8650793650793651"/>
    <n v="0.64917485731965363"/>
    <m/>
    <n v="0"/>
    <n v="0"/>
    <n v="10.596095999999998"/>
    <m/>
    <s v="-"/>
    <s v="-"/>
    <s v="-"/>
    <s v="-"/>
    <s v="-"/>
    <n v="29433.599999999999"/>
    <m/>
    <m/>
    <n v="1"/>
    <n v="0.98499999999999999"/>
    <n v="28992.095999999998"/>
    <n v="0"/>
    <s v="-"/>
    <s v="-"/>
    <n v="28971"/>
    <n v="18468"/>
    <n v="28539"/>
    <n v="0.98437174049092557"/>
    <m/>
    <m/>
    <s v="x"/>
    <m/>
    <m/>
    <m/>
    <m/>
    <s v="ㅇ"/>
    <s v="ㅇ"/>
  </r>
  <r>
    <n v="812"/>
    <x v="811"/>
    <n v="914"/>
    <x v="11"/>
    <n v="12"/>
    <x v="6"/>
    <x v="811"/>
    <s v="구로구 항동 181"/>
    <s v="㈜헥스파워시스템"/>
    <n v="17.68"/>
    <n v="42"/>
    <n v="2.3755656108597285"/>
    <n v="0.82685889692298231"/>
    <m/>
    <n v="0"/>
    <n v="0"/>
    <n v="7.4340864"/>
    <m/>
    <s v="-"/>
    <s v="-"/>
    <s v="-"/>
    <s v="-"/>
    <s v="-"/>
    <n v="20650.240000000002"/>
    <m/>
    <m/>
    <n v="1"/>
    <n v="0.98499999999999999"/>
    <n v="20340.486400000002"/>
    <n v="0"/>
    <s v="-"/>
    <s v="-"/>
    <n v="26320"/>
    <n v="15946"/>
    <n v="26064"/>
    <n v="1.2813852868336519"/>
    <m/>
    <m/>
    <s v="x"/>
    <m/>
    <m/>
    <m/>
    <m/>
    <s v="ㅇ"/>
    <s v="ㅇ"/>
  </r>
  <r>
    <n v="753"/>
    <x v="812"/>
    <n v="891"/>
    <x v="11"/>
    <n v="11"/>
    <x v="6"/>
    <x v="812"/>
    <s v="강서구 남부순환로171"/>
    <s v="에이컴에너지㈜"/>
    <n v="33"/>
    <n v="112"/>
    <n v="3.393939393939394"/>
    <n v="1.181322448290774"/>
    <s v="구조물"/>
    <n v="0"/>
    <n v="0"/>
    <n v="13.87584"/>
    <m/>
    <s v="-"/>
    <s v="-"/>
    <s v="-"/>
    <s v="-"/>
    <s v="-"/>
    <n v="38544"/>
    <n v="20"/>
    <n v="20"/>
    <n v="0.97499999999999998"/>
    <n v="0.98499999999999999"/>
    <n v="37016.693999999996"/>
    <n v="0"/>
    <s v="-"/>
    <n v="3101"/>
    <n v="46104"/>
    <n v="26239"/>
    <n v="42307"/>
    <n v="1.1429167607458408"/>
    <m/>
    <m/>
    <s v="x"/>
    <m/>
    <m/>
    <m/>
    <m/>
    <s v="ㅇ"/>
    <s v="ㅇ"/>
  </r>
  <r>
    <n v="820"/>
    <x v="813"/>
    <n v="801"/>
    <x v="11"/>
    <n v="10"/>
    <x v="32"/>
    <x v="813"/>
    <s v="양천구 목동서로 20"/>
    <s v="㈜태성전기전력"/>
    <n v="4"/>
    <n v="16.5"/>
    <n v="4.125"/>
    <n v="1.4357814131569786"/>
    <s v="BIPV"/>
    <n v="0"/>
    <n v="0"/>
    <n v="1.6819200000000001"/>
    <m/>
    <s v="-"/>
    <s v="-"/>
    <s v="-"/>
    <s v="-"/>
    <s v="-"/>
    <n v="4672"/>
    <n v="0"/>
    <n v="0"/>
    <n v="0.88400000000000001"/>
    <n v="0.98499999999999999"/>
    <n v="4068.09728"/>
    <n v="0"/>
    <s v="-"/>
    <n v="381"/>
    <n v="3675"/>
    <n v="2504"/>
    <n v="3756"/>
    <n v="0.92328175593677053"/>
    <m/>
    <m/>
    <s v="x"/>
    <m/>
    <m/>
    <m/>
    <m/>
    <s v="ㅇ"/>
    <s v="ㅇ"/>
  </r>
  <r>
    <n v="819"/>
    <x v="814"/>
    <n v="731"/>
    <x v="11"/>
    <n v="12"/>
    <x v="32"/>
    <x v="814"/>
    <s v="서울시 광진구 자양동, 구의동 일대"/>
    <s v="진솔이앤에스㈜"/>
    <n v="97.92"/>
    <n v="271"/>
    <n v="2.7675653594771243"/>
    <n v="0.96330155220227087"/>
    <m/>
    <n v="1.8"/>
    <n v="6.1274509803921564"/>
    <n v="39.373401600000015"/>
    <m/>
    <s v="-"/>
    <s v="-"/>
    <s v="-"/>
    <n v="0.8"/>
    <n v="1"/>
    <n v="114370.56000000001"/>
    <n v="60"/>
    <n v="0"/>
    <n v="0.92500000000000004"/>
    <n v="0.98499999999999999"/>
    <n v="104205.87648000002"/>
    <n v="0"/>
    <s v="-"/>
    <m/>
    <n v="136884"/>
    <n v="74042"/>
    <n v="117980"/>
    <n v="1.132181830672895"/>
    <m/>
    <m/>
    <s v="x"/>
    <m/>
    <m/>
    <m/>
    <m/>
    <s v="x"/>
    <s v="ㅇ"/>
  </r>
  <r>
    <n v="823"/>
    <x v="815"/>
    <n v="772"/>
    <x v="11"/>
    <n v="5"/>
    <x v="33"/>
    <x v="815"/>
    <s v="종로구 명륜길 28"/>
    <s v="이앤에이치㈜ "/>
    <n v="18.2"/>
    <n v="57"/>
    <n v="3.1318681318681318"/>
    <n v="1.0901037702290748"/>
    <m/>
    <n v="0"/>
    <n v="0"/>
    <n v="7.652736"/>
    <m/>
    <s v="-"/>
    <s v="-"/>
    <s v="-"/>
    <s v="-"/>
    <s v="-"/>
    <n v="21257.600000000002"/>
    <m/>
    <m/>
    <n v="1"/>
    <n v="0.98499999999999999"/>
    <n v="20938.736000000001"/>
    <n v="0"/>
    <s v="-"/>
    <n v="20597"/>
    <n v="21578"/>
    <n v="11220"/>
    <n v="18263"/>
    <n v="0.87221119746674292"/>
    <m/>
    <m/>
    <s v="x"/>
    <m/>
    <m/>
    <m/>
    <m/>
    <s v="ㅇ"/>
    <s v="ㅇ"/>
  </r>
  <r>
    <n v="821"/>
    <x v="816"/>
    <n v="789"/>
    <x v="11"/>
    <n v="12"/>
    <x v="33"/>
    <x v="816"/>
    <s v="종로구 자하문로 260"/>
    <s v="에스피브이㈜"/>
    <n v="3.46"/>
    <n v="8"/>
    <n v="2.3121387283236996"/>
    <n v="0.80478201473153477"/>
    <m/>
    <n v="0"/>
    <n v="0"/>
    <n v="1.4548608000000001"/>
    <m/>
    <s v="-"/>
    <s v="-"/>
    <s v="-"/>
    <s v="-"/>
    <s v="-"/>
    <n v="4041.28"/>
    <n v="10"/>
    <n v="0"/>
    <n v="0.94199999999999995"/>
    <n v="0.98499999999999999"/>
    <n v="3749.7824736000002"/>
    <n v="0"/>
    <s v="-"/>
    <s v="-"/>
    <n v="3694"/>
    <n v="2273"/>
    <n v="3437"/>
    <n v="0.91658650180320689"/>
    <m/>
    <m/>
    <s v="x"/>
    <m/>
    <m/>
    <m/>
    <m/>
    <s v="ㅇ"/>
    <s v="ㅇ"/>
  </r>
  <r>
    <n v="822"/>
    <x v="817"/>
    <n v="759"/>
    <x v="11"/>
    <n v="12"/>
    <x v="33"/>
    <x v="817"/>
    <s v="종로구 북촌로134-3"/>
    <s v="(주)코텍에너지"/>
    <n v="4"/>
    <n v="15"/>
    <n v="3.75"/>
    <n v="1.305255830142708"/>
    <s v="구조물"/>
    <n v="0"/>
    <n v="0"/>
    <n v="1.6819200000000001"/>
    <m/>
    <s v="-"/>
    <s v="-"/>
    <s v="-"/>
    <s v="-"/>
    <s v="-"/>
    <n v="4672"/>
    <n v="5"/>
    <n v="0"/>
    <n v="0.94199999999999995"/>
    <n v="0.98499999999999999"/>
    <n v="4335.00864"/>
    <n v="0"/>
    <s v="-"/>
    <s v="-"/>
    <n v="2800"/>
    <n v="1288"/>
    <n v="3448.0000000000005"/>
    <n v="0.79538480458484173"/>
    <m/>
    <s v="수목으로 인한 그늘 및 최장 장마로 인한 태양광발전량 저하"/>
    <s v="x"/>
    <m/>
    <m/>
    <m/>
    <m/>
    <s v="ㅇ"/>
    <s v="ㅇ"/>
  </r>
  <r>
    <n v="824"/>
    <x v="818"/>
    <n v="767"/>
    <x v="11"/>
    <n v="12"/>
    <x v="33"/>
    <x v="818"/>
    <s v="종로구 청운동 7-27"/>
    <s v="㈜코텍에너지"/>
    <n v="4"/>
    <n v="14"/>
    <n v="3.5"/>
    <n v="1.2182387747998606"/>
    <s v="구조물"/>
    <n v="0"/>
    <n v="0"/>
    <n v="1.6819200000000001"/>
    <m/>
    <s v="-"/>
    <s v="-"/>
    <s v="-"/>
    <s v="-"/>
    <s v="-"/>
    <n v="4672"/>
    <n v="5"/>
    <n v="0"/>
    <n v="0.94199999999999995"/>
    <n v="0.98499999999999999"/>
    <n v="4335.00864"/>
    <n v="0"/>
    <s v="-"/>
    <s v="-"/>
    <n v="4079"/>
    <n v="1695"/>
    <n v="3688"/>
    <n v="0.85074801604086303"/>
    <m/>
    <m/>
    <s v="x"/>
    <m/>
    <m/>
    <m/>
    <m/>
    <s v="ㅇ"/>
    <s v="ㅇ"/>
  </r>
  <r>
    <n v="825"/>
    <x v="819"/>
    <n v="835"/>
    <x v="11"/>
    <n v="12"/>
    <x v="33"/>
    <x v="819"/>
    <s v="종로구 율곡로19길 17-8"/>
    <s v="㈜에스피브이"/>
    <n v="3.46"/>
    <n v="8"/>
    <n v="2.3121387283236996"/>
    <n v="0.80478201473153477"/>
    <m/>
    <n v="0"/>
    <n v="0"/>
    <n v="1.4548608000000001"/>
    <m/>
    <s v="-"/>
    <s v="-"/>
    <s v="-"/>
    <s v="-"/>
    <s v="-"/>
    <n v="4041.28"/>
    <m/>
    <m/>
    <n v="1"/>
    <n v="0.98499999999999999"/>
    <n v="3980.6608000000001"/>
    <n v="0"/>
    <s v="-"/>
    <s v="-"/>
    <n v="4687"/>
    <n v="1789"/>
    <n v="3915"/>
    <n v="0.98350505021678813"/>
    <m/>
    <m/>
    <s v="x"/>
    <m/>
    <m/>
    <m/>
    <m/>
    <s v="ㅇ"/>
    <s v="ㅇ"/>
  </r>
  <r>
    <n v="826"/>
    <x v="820"/>
    <n v="776"/>
    <x v="11"/>
    <n v="1"/>
    <x v="34"/>
    <x v="820"/>
    <s v="용산구 임정로 58"/>
    <s v="㈜한국스카다"/>
    <n v="12.54"/>
    <n v="34"/>
    <n v="2.7113237639553431"/>
    <n v="0.9437256400819154"/>
    <m/>
    <n v="0"/>
    <n v="0"/>
    <n v="5.2728191999999989"/>
    <m/>
    <s v="-"/>
    <s v="-"/>
    <s v="-"/>
    <s v="-"/>
    <s v="-"/>
    <n v="14646.72"/>
    <m/>
    <n v="-35"/>
    <n v="0.95"/>
    <n v="0.98499999999999999"/>
    <n v="13705.668239999999"/>
    <n v="0"/>
    <s v="-"/>
    <n v="11718"/>
    <n v="10985"/>
    <n v="6591"/>
    <n v="12084"/>
    <n v="0.88167900961828627"/>
    <m/>
    <m/>
    <s v="x"/>
    <m/>
    <m/>
    <m/>
    <m/>
    <s v="ㅇ"/>
    <s v="ㅇ"/>
  </r>
  <r>
    <n v="827"/>
    <x v="821"/>
    <n v="809"/>
    <x v="11"/>
    <n v="5"/>
    <x v="55"/>
    <x v="821"/>
    <s v="성동구 옥수동 528-2"/>
    <s v="㈜한국스카다"/>
    <n v="3"/>
    <n v="8"/>
    <n v="2.6666666666666665"/>
    <n v="0.92818192365703667"/>
    <m/>
    <n v="0"/>
    <n v="0"/>
    <n v="1.2614400000000003"/>
    <m/>
    <s v="-"/>
    <s v="-"/>
    <s v="-"/>
    <s v="-"/>
    <s v="-"/>
    <n v="3504.0000000000005"/>
    <m/>
    <m/>
    <n v="1"/>
    <n v="0.98499999999999999"/>
    <n v="3451.4400000000005"/>
    <n v="0"/>
    <s v="-"/>
    <s v="-"/>
    <s v="-"/>
    <s v="(누적)8266"/>
    <n v="3216"/>
    <n v="0.93178499408942339"/>
    <m/>
    <s v="20년 통합모니터링 부착으로 정확한 발전량 표기가 어려움_x000a_모니터링장치 통신 오류"/>
    <s v="x"/>
    <m/>
    <m/>
    <m/>
    <m/>
    <s v="ㅇ"/>
    <s v="ㅇ"/>
  </r>
  <r>
    <n v="828"/>
    <x v="822"/>
    <n v="882"/>
    <x v="11"/>
    <n v="6"/>
    <x v="55"/>
    <x v="822"/>
    <s v="성동구 성수일로12길20"/>
    <s v="세명전력"/>
    <n v="17.420000000000002"/>
    <n v="0"/>
    <n v="0"/>
    <n v="0"/>
    <m/>
    <n v="0"/>
    <n v="0"/>
    <n v="7.3247616000000004"/>
    <m/>
    <s v="-"/>
    <s v="-"/>
    <s v="-"/>
    <s v="-"/>
    <s v="-"/>
    <n v="20346.560000000001"/>
    <m/>
    <m/>
    <n v="1"/>
    <n v="0.98499999999999999"/>
    <n v="20041.3616"/>
    <n v="0"/>
    <s v="-"/>
    <n v="15678"/>
    <n v="23143"/>
    <n v="13371"/>
    <n v="22083"/>
    <n v="1.1018712421215933"/>
    <m/>
    <m/>
    <s v="x"/>
    <m/>
    <m/>
    <m/>
    <m/>
    <s v="ㅇ"/>
    <s v="ㅇ"/>
  </r>
  <r>
    <n v="829"/>
    <x v="823"/>
    <n v="783"/>
    <x v="11"/>
    <n v="9"/>
    <x v="55"/>
    <x v="823"/>
    <s v="성동구 청계천로 506"/>
    <s v="㈜한국스카다"/>
    <n v="10.220000000000001"/>
    <n v="28"/>
    <n v="2.7397260273972601"/>
    <n v="0.95361156540106506"/>
    <m/>
    <n v="0"/>
    <n v="0"/>
    <n v="4.2973056000000005"/>
    <m/>
    <s v="-"/>
    <s v="-"/>
    <s v="-"/>
    <s v="-"/>
    <s v="-"/>
    <n v="11936.960000000001"/>
    <m/>
    <m/>
    <n v="1"/>
    <n v="0.98499999999999999"/>
    <n v="11757.9056"/>
    <n v="0"/>
    <s v="-"/>
    <s v="-"/>
    <n v="17146"/>
    <n v="6287"/>
    <n v="10662"/>
    <n v="0.90679414878105502"/>
    <m/>
    <s v="20년 2월 무선모니터링 부착으로 1월 발전량 제외"/>
    <s v="x"/>
    <m/>
    <m/>
    <m/>
    <m/>
    <s v="ㅇ"/>
    <s v="ㅇ"/>
  </r>
  <r>
    <n v="830"/>
    <x v="824"/>
    <n v="811"/>
    <x v="11"/>
    <n v="9"/>
    <x v="55"/>
    <x v="824"/>
    <s v="성동구 송정동93"/>
    <s v="㈜한국스카다"/>
    <n v="5.1100000000000003"/>
    <n v="14"/>
    <n v="2.7397260273972601"/>
    <n v="0.95361156540106506"/>
    <m/>
    <n v="0"/>
    <n v="0"/>
    <n v="2.1486528000000003"/>
    <m/>
    <s v="-"/>
    <s v="-"/>
    <s v="-"/>
    <s v="-"/>
    <s v="-"/>
    <n v="5968.4800000000005"/>
    <m/>
    <m/>
    <n v="1"/>
    <n v="0.98499999999999999"/>
    <n v="5878.9528"/>
    <n v="0"/>
    <s v="-"/>
    <s v="-"/>
    <n v="8376"/>
    <n v="3154"/>
    <n v="5518"/>
    <n v="0.93860253479157041"/>
    <m/>
    <m/>
    <s v="x"/>
    <m/>
    <m/>
    <m/>
    <m/>
    <s v="ㅇ"/>
    <s v="ㅇ"/>
  </r>
  <r>
    <n v="833"/>
    <x v="825"/>
    <n v="799"/>
    <x v="11"/>
    <n v="9"/>
    <x v="55"/>
    <x v="825"/>
    <s v="성동구 살곶이길 313-62"/>
    <s v="지투파워"/>
    <n v="5.2"/>
    <n v="0"/>
    <n v="0"/>
    <n v="0"/>
    <m/>
    <n v="0"/>
    <n v="0"/>
    <n v="2.1864960000000004"/>
    <m/>
    <s v="-"/>
    <s v="-"/>
    <s v="-"/>
    <s v="-"/>
    <s v="-"/>
    <n v="6073.6"/>
    <m/>
    <m/>
    <n v="1"/>
    <n v="0.98499999999999999"/>
    <n v="5982.4960000000001"/>
    <n v="0"/>
    <s v="-"/>
    <s v="-"/>
    <n v="7186"/>
    <n v="2581"/>
    <n v="5504"/>
    <n v="0.92001733055901747"/>
    <m/>
    <m/>
    <s v="x"/>
    <m/>
    <m/>
    <m/>
    <m/>
    <s v="ㅇ"/>
    <s v="ㅇ"/>
  </r>
  <r>
    <n v="831"/>
    <x v="826"/>
    <n v="736"/>
    <x v="11"/>
    <n v="12"/>
    <x v="55"/>
    <x v="826"/>
    <s v="성동구 용답동 180-2"/>
    <s v="강진이앤씨"/>
    <n v="15"/>
    <n v="42"/>
    <n v="2.8"/>
    <n v="0.97459101983988849"/>
    <m/>
    <n v="1.8"/>
    <n v="40"/>
    <n v="4.5072000000000001"/>
    <s v="안전관리"/>
    <s v="-"/>
    <s v="-"/>
    <s v="-"/>
    <n v="0.9"/>
    <n v="0.9"/>
    <n v="17520"/>
    <m/>
    <m/>
    <n v="1"/>
    <n v="0.98499999999999999"/>
    <n v="17257.2"/>
    <n v="0"/>
    <s v="-"/>
    <s v="-"/>
    <n v="15980"/>
    <n v="10727"/>
    <n v="18317"/>
    <n v="1.0614120483044758"/>
    <m/>
    <m/>
    <s v="x"/>
    <m/>
    <m/>
    <m/>
    <m/>
    <s v="ㅇ"/>
    <s v="ㅇ"/>
  </r>
  <r>
    <n v="832"/>
    <x v="827"/>
    <n v="737"/>
    <x v="11"/>
    <n v="12"/>
    <x v="55"/>
    <x v="827"/>
    <s v="성동구 독서당로63길 40"/>
    <s v="㈜에코스"/>
    <n v="30"/>
    <n v="99"/>
    <n v="3.3"/>
    <n v="1.1486251305255828"/>
    <s v="구조물"/>
    <n v="1.8"/>
    <n v="20"/>
    <n v="10.814399999999999"/>
    <s v="안전관리"/>
    <s v="-"/>
    <s v="-"/>
    <s v="-"/>
    <n v="0.9"/>
    <n v="0.9"/>
    <n v="35040"/>
    <m/>
    <m/>
    <n v="1"/>
    <n v="0.98499999999999999"/>
    <n v="34514.400000000001"/>
    <n v="0"/>
    <s v="-"/>
    <s v="-"/>
    <n v="42830"/>
    <n v="25612"/>
    <n v="36898"/>
    <n v="1.0690610295992398"/>
    <m/>
    <m/>
    <s v="x"/>
    <m/>
    <m/>
    <m/>
    <m/>
    <s v="ㅇ"/>
    <s v="ㅇ"/>
  </r>
  <r>
    <n v="834"/>
    <x v="828"/>
    <n v="803"/>
    <x v="11"/>
    <n v="11"/>
    <x v="13"/>
    <x v="828"/>
    <s v="광진구 광장동370-3"/>
    <s v="이엔에이치㈜"/>
    <n v="10"/>
    <n v="54"/>
    <n v="5.4"/>
    <n v="1.8795683954054994"/>
    <s v="구조물"/>
    <n v="0"/>
    <n v="0"/>
    <n v="4.2047999999999996"/>
    <m/>
    <s v="-"/>
    <s v="-"/>
    <s v="-"/>
    <s v="-"/>
    <s v="-"/>
    <n v="11680"/>
    <m/>
    <m/>
    <n v="1"/>
    <n v="0.98499999999999999"/>
    <n v="11504.8"/>
    <n v="0"/>
    <s v="-"/>
    <s v="-"/>
    <n v="11176"/>
    <n v="3686"/>
    <n v="10654"/>
    <n v="0.92604825811835068"/>
    <m/>
    <m/>
    <s v="x"/>
    <m/>
    <m/>
    <m/>
    <m/>
    <s v="ㅇ"/>
    <s v="ㅇ"/>
  </r>
  <r>
    <n v="836"/>
    <x v="829"/>
    <n v="742"/>
    <x v="11"/>
    <n v="6"/>
    <x v="35"/>
    <x v="829"/>
    <s v="동대문구 고산자로28길 13 (용두동 29-3)"/>
    <s v="㈜한국스카다"/>
    <n v="56"/>
    <n v="160"/>
    <n v="2.8571428571428572"/>
    <n v="0.99448063248968221"/>
    <m/>
    <n v="1"/>
    <n v="5.9523809523809517"/>
    <n v="22.546880000000005"/>
    <s v="소모품 교체 등"/>
    <s v="-"/>
    <s v="-"/>
    <n v="1"/>
    <s v="-"/>
    <s v="-"/>
    <n v="65408.000000000007"/>
    <n v="5"/>
    <n v="0"/>
    <n v="0.94199999999999995"/>
    <n v="0.98499999999999999"/>
    <n v="60690.120960000007"/>
    <n v="0"/>
    <s v="-"/>
    <n v="20400"/>
    <n v="40933"/>
    <n v="10667"/>
    <n v="13776"/>
    <n v="0.22698916696968796"/>
    <s v="코로나19 휴관"/>
    <s v="코로나19 에 따른 시설휴관 등, 휴관기간?-&gt;지침에 따른 수시 휴관, 역전력계전기 차단에 따라 휴관시 가동중단,"/>
    <s v="x"/>
    <m/>
    <m/>
    <m/>
    <m/>
    <s v="ㅇ"/>
    <s v="ㅇ"/>
  </r>
  <r>
    <n v="835"/>
    <x v="830"/>
    <n v="853"/>
    <x v="11"/>
    <n v="10"/>
    <x v="35"/>
    <x v="830"/>
    <s v="동대문구 한빛로 62 (용두동 231-4)"/>
    <s v="㈜파루"/>
    <n v="9.36"/>
    <n v="22"/>
    <n v="2.3504273504273505"/>
    <n v="0.81810906732591382"/>
    <m/>
    <n v="0"/>
    <n v="0"/>
    <n v="3.9356928000000004"/>
    <m/>
    <s v="-"/>
    <s v="-"/>
    <s v="-"/>
    <s v="-"/>
    <s v="-"/>
    <n v="10932.48"/>
    <n v="25"/>
    <n v="5"/>
    <n v="0.99199999999999999"/>
    <n v="0.98499999999999999"/>
    <n v="10682.344857599999"/>
    <n v="0"/>
    <s v="-"/>
    <n v="3126"/>
    <n v="12054"/>
    <s v="(누적)23843"/>
    <n v="10890"/>
    <n v="1.0194390974236582"/>
    <m/>
    <m/>
    <s v="x"/>
    <m/>
    <m/>
    <m/>
    <m/>
    <s v="ㅇ"/>
    <s v="ㅇ"/>
  </r>
  <r>
    <n v="837"/>
    <x v="831"/>
    <n v="735"/>
    <x v="11"/>
    <n v="10"/>
    <x v="35"/>
    <x v="831"/>
    <s v="동대문구 한천로58길 81-49 (이문동 189)"/>
    <s v="㈜파루"/>
    <n v="30.24"/>
    <n v="86"/>
    <n v="2.8439153439153442"/>
    <n v="0.98987655548741527"/>
    <m/>
    <n v="1.92"/>
    <n v="21.164021164021165"/>
    <n v="10.795315199999999"/>
    <s v="안전관리"/>
    <s v="-"/>
    <s v="-"/>
    <s v="-"/>
    <n v="0.96"/>
    <n v="0.96"/>
    <n v="35320.32"/>
    <n v="25"/>
    <n v="0"/>
    <n v="0.99199999999999999"/>
    <n v="0.98499999999999999"/>
    <n v="34512.191078399999"/>
    <n v="0"/>
    <s v="-"/>
    <n v="10316"/>
    <n v="28594"/>
    <n v="22402"/>
    <n v="34951"/>
    <n v="1.012714606285158"/>
    <m/>
    <m/>
    <s v="x"/>
    <m/>
    <m/>
    <m/>
    <m/>
    <s v="ㅇ"/>
    <s v="ㅇ"/>
  </r>
  <r>
    <n v="838"/>
    <x v="832"/>
    <n v="871"/>
    <x v="11"/>
    <n v="10"/>
    <x v="35"/>
    <x v="832"/>
    <s v="동대문구 답십리로56길 89 (답십리동 23-3)"/>
    <s v="㈜파루"/>
    <n v="10"/>
    <n v="29"/>
    <n v="2.9"/>
    <n v="1.0093978419770273"/>
    <m/>
    <n v="0"/>
    <n v="0"/>
    <n v="4.2047999999999996"/>
    <m/>
    <s v="-"/>
    <s v="-"/>
    <s v="-"/>
    <s v="-"/>
    <s v="-"/>
    <n v="11680"/>
    <n v="10"/>
    <n v="0"/>
    <n v="0.94199999999999995"/>
    <n v="0.98499999999999999"/>
    <n v="10837.5216"/>
    <n v="0"/>
    <s v="-"/>
    <n v="1630"/>
    <n v="11810"/>
    <n v="6720"/>
    <n v="11520"/>
    <n v="1.0629736599556119"/>
    <m/>
    <s v="모니터링 미설치 및 인버터 위치 문제로 확인 불가-&gt; 누적발전량으로 연간발전량 추산"/>
    <s v="x"/>
    <m/>
    <m/>
    <m/>
    <m/>
    <s v="ㅇ"/>
    <s v="ㅇ"/>
  </r>
  <r>
    <n v="839"/>
    <x v="833"/>
    <n v="911"/>
    <x v="11"/>
    <n v="8"/>
    <x v="36"/>
    <x v="833"/>
    <s v="중랑구 겸재로23길 27"/>
    <s v="에이컴에너지㈜"/>
    <n v="25"/>
    <n v="68"/>
    <n v="2.72"/>
    <n v="0.94674556213017746"/>
    <m/>
    <n v="0"/>
    <n v="0"/>
    <n v="10.512"/>
    <m/>
    <s v="-"/>
    <s v="-"/>
    <s v="-"/>
    <s v="-"/>
    <s v="-"/>
    <n v="29200"/>
    <n v="15"/>
    <n v="0"/>
    <n v="0.96399999999999997"/>
    <n v="0.98499999999999999"/>
    <n v="27726.567999999999"/>
    <n v="0"/>
    <s v="-"/>
    <n v="5769"/>
    <n v="33341"/>
    <n v="21683"/>
    <n v="34995"/>
    <n v="1.2621468333188586"/>
    <m/>
    <m/>
    <s v="x"/>
    <m/>
    <m/>
    <m/>
    <m/>
    <s v="ㅇ"/>
    <s v="ㅇ"/>
  </r>
  <r>
    <n v="840"/>
    <x v="834"/>
    <n v="798"/>
    <x v="11"/>
    <n v="10"/>
    <x v="36"/>
    <x v="834"/>
    <s v="중랑구 송림길 172"/>
    <s v="에이컴에너지㈜"/>
    <n v="9"/>
    <n v="5"/>
    <n v="0.55555555555555558"/>
    <n v="0.19337123409521598"/>
    <m/>
    <n v="0"/>
    <n v="0"/>
    <n v="3.7843200000000001"/>
    <m/>
    <s v="-"/>
    <s v="-"/>
    <s v="-"/>
    <s v="-"/>
    <s v="-"/>
    <n v="10512"/>
    <n v="15"/>
    <n v="0"/>
    <n v="0.96399999999999997"/>
    <n v="0.98499999999999999"/>
    <n v="9981.5644799999991"/>
    <n v="0"/>
    <s v="-"/>
    <n v="1380"/>
    <n v="9477"/>
    <n v="5707"/>
    <n v="9181.0000000000018"/>
    <n v="0.91979569118607774"/>
    <m/>
    <m/>
    <s v="x"/>
    <m/>
    <m/>
    <m/>
    <m/>
    <s v="ㅇ"/>
    <s v="ㅇ"/>
  </r>
  <r>
    <n v="841"/>
    <x v="835"/>
    <n v="749"/>
    <x v="11"/>
    <n v="6"/>
    <x v="7"/>
    <x v="835"/>
    <s v="성북구 장위로19길 35"/>
    <s v="헤스"/>
    <n v="3"/>
    <n v="8"/>
    <n v="2.6666666666666665"/>
    <n v="0.92818192365703667"/>
    <m/>
    <n v="0.157"/>
    <n v="17.444444444444446"/>
    <n v="1.1044400000000003"/>
    <m/>
    <s v="-"/>
    <s v="-"/>
    <s v="-"/>
    <s v="-"/>
    <n v="0.157"/>
    <n v="3504.0000000000005"/>
    <m/>
    <m/>
    <n v="1"/>
    <n v="0.98499999999999999"/>
    <n v="3451.4400000000005"/>
    <n v="0"/>
    <s v="-"/>
    <n v="2219"/>
    <n v="3878"/>
    <n v="1544.155"/>
    <n v="3950.7"/>
    <n v="1.1446526667130239"/>
    <m/>
    <m/>
    <s v="x"/>
    <m/>
    <m/>
    <m/>
    <m/>
    <s v="ㅇ"/>
    <s v="ㅇ"/>
  </r>
  <r>
    <n v="845"/>
    <x v="836"/>
    <n v="856"/>
    <x v="11"/>
    <n v="6"/>
    <x v="37"/>
    <x v="836"/>
    <s v="강북구 오패산로 290-1"/>
    <s v="㈜에코스"/>
    <n v="36"/>
    <n v="109"/>
    <n v="3.0277777777777777"/>
    <n v="1.053873225818927"/>
    <m/>
    <n v="0"/>
    <n v="0"/>
    <n v="15.137280000000001"/>
    <m/>
    <s v="-"/>
    <s v="-"/>
    <s v="-"/>
    <s v="-"/>
    <s v="-"/>
    <n v="42048"/>
    <m/>
    <m/>
    <n v="1"/>
    <n v="0.98499999999999999"/>
    <n v="41417.279999999999"/>
    <n v="0"/>
    <s v="-"/>
    <n v="24001"/>
    <n v="44123"/>
    <n v="20968"/>
    <n v="42650"/>
    <n v="1.0297634224169236"/>
    <m/>
    <m/>
    <s v="x"/>
    <m/>
    <m/>
    <m/>
    <m/>
    <s v="ㅇ"/>
    <s v="ㅇ"/>
  </r>
  <r>
    <n v="842"/>
    <x v="837"/>
    <n v="761"/>
    <x v="11"/>
    <n v="8"/>
    <x v="37"/>
    <x v="837"/>
    <s v="강북구 번동 265"/>
    <s v="(주)파랑이엔지"/>
    <n v="6"/>
    <n v="12"/>
    <n v="2"/>
    <n v="0.69613644274277753"/>
    <s v="구조물"/>
    <n v="0"/>
    <n v="0"/>
    <n v="2.5228800000000007"/>
    <m/>
    <s v="-"/>
    <s v="-"/>
    <s v="-"/>
    <s v="-"/>
    <s v="-"/>
    <n v="7008.0000000000009"/>
    <m/>
    <m/>
    <n v="1"/>
    <n v="0.98499999999999999"/>
    <n v="6902.880000000001"/>
    <n v="0"/>
    <s v="-"/>
    <n v="2308"/>
    <n v="6926"/>
    <n v="3350"/>
    <n v="5582"/>
    <n v="0.80864798460932241"/>
    <m/>
    <m/>
    <s v="x"/>
    <m/>
    <m/>
    <m/>
    <m/>
    <s v="ㅇ"/>
    <s v="ㅇ"/>
  </r>
  <r>
    <n v="846"/>
    <x v="838"/>
    <n v="905"/>
    <x v="11"/>
    <n v="9"/>
    <x v="37"/>
    <x v="838"/>
    <s v="강북구 덕릉로41길 74"/>
    <s v="이엔에이치㈜"/>
    <n v="6.4"/>
    <n v="21"/>
    <n v="3.28125"/>
    <n v="1.1420988513748693"/>
    <s v="구조물"/>
    <n v="0"/>
    <n v="0"/>
    <n v="2.691072000000001"/>
    <m/>
    <s v="-"/>
    <s v="-"/>
    <s v="-"/>
    <s v="-"/>
    <s v="-"/>
    <n v="7475.2000000000016"/>
    <m/>
    <m/>
    <n v="1"/>
    <n v="0.98499999999999999"/>
    <n v="7363.0720000000019"/>
    <n v="0"/>
    <s v="-"/>
    <n v="558"/>
    <n v="6598"/>
    <n v="6250"/>
    <n v="8686"/>
    <n v="1.179670659203115"/>
    <m/>
    <m/>
    <s v="x"/>
    <m/>
    <m/>
    <m/>
    <m/>
    <s v="ㅇ"/>
    <s v="ㅇ"/>
  </r>
  <r>
    <n v="843"/>
    <x v="839"/>
    <n v="902"/>
    <x v="11"/>
    <n v="10"/>
    <x v="37"/>
    <x v="839"/>
    <s v="강북구 삼양로54길 68"/>
    <s v="(주)파랑이엔지"/>
    <n v="15.33"/>
    <n v="42"/>
    <n v="2.7397260273972601"/>
    <n v="0.95361156540106506"/>
    <m/>
    <n v="0"/>
    <n v="0"/>
    <n v="6.4459584000000003"/>
    <m/>
    <s v="-"/>
    <s v="-"/>
    <s v="-"/>
    <s v="-"/>
    <s v="-"/>
    <n v="17905.440000000002"/>
    <m/>
    <m/>
    <n v="1"/>
    <n v="0.98499999999999999"/>
    <n v="17636.858400000001"/>
    <n v="0"/>
    <s v="-"/>
    <n v="2822"/>
    <n v="20342"/>
    <n v="13988"/>
    <n v="20650"/>
    <n v="1.170843442276545"/>
    <m/>
    <m/>
    <s v="x"/>
    <m/>
    <m/>
    <m/>
    <m/>
    <s v="ㅇ"/>
    <s v="ㅇ"/>
  </r>
  <r>
    <n v="844"/>
    <x v="840"/>
    <n v="881"/>
    <x v="11"/>
    <n v="11"/>
    <x v="37"/>
    <x v="840"/>
    <s v="강북구 삼각산로 85"/>
    <s v="(주)파랑이엔지"/>
    <n v="21.9"/>
    <n v="61"/>
    <n v="2.7853881278538815"/>
    <n v="0.96950509149108288"/>
    <m/>
    <n v="0"/>
    <n v="0"/>
    <n v="9.2085120000000007"/>
    <m/>
    <s v="-"/>
    <s v="-"/>
    <s v="-"/>
    <s v="-"/>
    <s v="-"/>
    <n v="25579.200000000001"/>
    <m/>
    <m/>
    <n v="1"/>
    <n v="0.98499999999999999"/>
    <n v="25195.511999999999"/>
    <n v="0"/>
    <s v="-"/>
    <n v="3543"/>
    <n v="29789"/>
    <n v="16628"/>
    <n v="27674"/>
    <n v="1.0983702176800376"/>
    <m/>
    <m/>
    <s v="x"/>
    <m/>
    <m/>
    <m/>
    <m/>
    <s v="ㅇ"/>
    <s v="ㅇ"/>
  </r>
  <r>
    <n v="856"/>
    <x v="841"/>
    <n v="852"/>
    <x v="11"/>
    <n v="1"/>
    <x v="14"/>
    <x v="841"/>
    <s v="도봉구 마들로 656"/>
    <s v="㈜에스피브이"/>
    <n v="20.440000000000001"/>
    <n v="57"/>
    <n v="2.7886497064579254"/>
    <n v="0.97064034335465543"/>
    <s v="구조물"/>
    <n v="0"/>
    <n v="0"/>
    <n v="8.594611200000001"/>
    <m/>
    <s v="-"/>
    <s v="-"/>
    <s v="-"/>
    <s v="-"/>
    <s v="-"/>
    <n v="23873.920000000002"/>
    <m/>
    <m/>
    <n v="1"/>
    <n v="0.98499999999999999"/>
    <n v="23515.8112"/>
    <n v="0"/>
    <s v="-"/>
    <n v="24959"/>
    <n v="24154"/>
    <n v="15047"/>
    <n v="23879"/>
    <n v="1.015444451263497"/>
    <m/>
    <m/>
    <s v="x"/>
    <m/>
    <m/>
    <m/>
    <m/>
    <s v="ㅇ"/>
    <s v="ㅇ"/>
  </r>
  <r>
    <n v="847"/>
    <x v="842"/>
    <n v="752"/>
    <x v="11"/>
    <n v="1"/>
    <x v="14"/>
    <x v="842"/>
    <s v="도봉구 창포원로 45"/>
    <s v="화성이엔지"/>
    <n v="146.47499999999999"/>
    <n v="468"/>
    <n v="3.1950844854070661"/>
    <n v="1.1121073739669565"/>
    <m/>
    <n v="0"/>
    <n v="0"/>
    <n v="61.589807999999998"/>
    <m/>
    <s v="-"/>
    <s v="-"/>
    <s v="-"/>
    <s v="-"/>
    <s v="-"/>
    <n v="171082.80000000002"/>
    <n v="15"/>
    <n v="-10"/>
    <n v="0.96299999999999997"/>
    <n v="0.98499999999999999"/>
    <n v="162281.445354"/>
    <n v="0"/>
    <s v="-"/>
    <n v="64307"/>
    <n v="65285"/>
    <n v="2918"/>
    <n v="14962"/>
    <n v="9.2197847803006452E-2"/>
    <s v="코로나19 휴관"/>
    <s v="코로나19 에 따른 시설휴관 등"/>
    <s v="x"/>
    <m/>
    <m/>
    <m/>
    <m/>
    <s v="ㅇ"/>
    <s v="ㅇ"/>
  </r>
  <r>
    <n v="857"/>
    <x v="843"/>
    <n v="11"/>
    <x v="1"/>
    <n v="2"/>
    <x v="14"/>
    <x v="843"/>
    <s v="도봉구 도봉로 969"/>
    <s v="프라임에텍"/>
    <n v="12"/>
    <n v="114"/>
    <n v="9.5"/>
    <n v="1.021505376344086"/>
    <m/>
    <n v="2.2999999999999998"/>
    <n v="38.333333333333329"/>
    <n v="6.1096000000000013"/>
    <s v="수리비용"/>
    <s v="-"/>
    <n v="1"/>
    <n v="1.3"/>
    <s v="-"/>
    <s v="-"/>
    <n v="14016.000000000002"/>
    <n v="20"/>
    <n v="-10"/>
    <n v="0.97899999999999998"/>
    <n v="0.93500000000000005"/>
    <n v="12829.755840000002"/>
    <n v="7800"/>
    <n v="14637"/>
    <n v="14807"/>
    <n v="14599"/>
    <n v="0"/>
    <n v="0"/>
    <n v="0"/>
    <s v="음식물처리장 내부수리"/>
    <s v="처리장 내부화재로 인한 태양광 가동중단('21.2. 복구예정)"/>
    <s v="ㅇ"/>
    <s v="인버터, 모듈"/>
    <n v="2.2999999999999998"/>
    <n v="2"/>
    <m/>
    <s v="ㅇ"/>
    <s v="ㅇ"/>
  </r>
  <r>
    <n v="853"/>
    <x v="844"/>
    <n v="821"/>
    <x v="11"/>
    <n v="2"/>
    <x v="14"/>
    <x v="844"/>
    <s v="도봉구 노해로 390"/>
    <s v="이엔에이치㈜"/>
    <n v="19.2"/>
    <n v="64"/>
    <n v="3.3333333333333335"/>
    <n v="1.1602274045712959"/>
    <s v="구조물"/>
    <n v="0"/>
    <n v="0"/>
    <n v="8.0732159999999986"/>
    <m/>
    <s v="-"/>
    <s v="-"/>
    <s v="-"/>
    <s v="-"/>
    <s v="-"/>
    <n v="22425.599999999999"/>
    <m/>
    <m/>
    <n v="1"/>
    <n v="0.98499999999999999"/>
    <n v="22089.215999999997"/>
    <n v="0"/>
    <s v="-"/>
    <n v="23578"/>
    <n v="23149"/>
    <n v="14572"/>
    <n v="21200"/>
    <n v="0.95974433859490549"/>
    <m/>
    <m/>
    <s v="x"/>
    <m/>
    <m/>
    <m/>
    <m/>
    <s v="ㅇ"/>
    <s v="ㅇ"/>
  </r>
  <r>
    <n v="848"/>
    <x v="845"/>
    <n v="779"/>
    <x v="11"/>
    <n v="4"/>
    <x v="14"/>
    <x v="845"/>
    <s v="도봉구 도당로 85-7"/>
    <s v="이엔에이치㈜"/>
    <n v="8.19"/>
    <n v="26"/>
    <n v="3.1746031746031749"/>
    <n v="1.1049784805440914"/>
    <s v="구조물"/>
    <n v="0"/>
    <n v="0"/>
    <n v="3.4437312000000002"/>
    <m/>
    <s v="-"/>
    <s v="-"/>
    <s v="-"/>
    <s v="-"/>
    <s v="-"/>
    <n v="9565.92"/>
    <m/>
    <m/>
    <n v="1"/>
    <n v="0.98499999999999999"/>
    <n v="9422.4311999999991"/>
    <n v="0"/>
    <s v="-"/>
    <n v="9781"/>
    <n v="9640"/>
    <n v="6001"/>
    <n v="8420"/>
    <n v="0.89361225582628834"/>
    <m/>
    <s v="지붕공사로 태양광 철거 및 재부착 실시"/>
    <s v="x"/>
    <m/>
    <m/>
    <m/>
    <m/>
    <s v="ㅇ"/>
    <s v="ㅇ"/>
  </r>
  <r>
    <n v="858"/>
    <x v="846"/>
    <n v="892"/>
    <x v="11"/>
    <n v="5"/>
    <x v="14"/>
    <x v="846"/>
    <s v="도봉구 방학로3길 117"/>
    <s v="에스피브이㈜"/>
    <n v="19.04"/>
    <n v="49"/>
    <n v="2.5735294117647061"/>
    <n v="0.89576380499989761"/>
    <m/>
    <n v="0"/>
    <n v="0"/>
    <n v="8.0059391999999985"/>
    <m/>
    <s v="-"/>
    <s v="-"/>
    <s v="-"/>
    <s v="-"/>
    <s v="-"/>
    <n v="22238.719999999998"/>
    <m/>
    <m/>
    <n v="1"/>
    <n v="0.98499999999999999"/>
    <n v="21905.139199999998"/>
    <n v="0"/>
    <n v="0"/>
    <n v="17220"/>
    <n v="19894"/>
    <n v="14531"/>
    <n v="25066"/>
    <n v="1.1442976815230648"/>
    <m/>
    <s v="2021년 1월 말 누적발전량이 68.932kWh"/>
    <s v="x"/>
    <m/>
    <m/>
    <m/>
    <m/>
    <s v="ㅇ"/>
    <s v="ㅇ"/>
  </r>
  <r>
    <n v="854"/>
    <x v="847"/>
    <n v="781"/>
    <x v="11"/>
    <n v="9"/>
    <x v="14"/>
    <x v="847"/>
    <s v="도봉구 우이천로4길 24-5"/>
    <s v="㈜한국스카다"/>
    <n v="25.55"/>
    <n v="71"/>
    <n v="2.7788649706457926"/>
    <n v="0.96723458776393745"/>
    <m/>
    <n v="0"/>
    <n v="0"/>
    <n v="10.743264000000002"/>
    <m/>
    <s v="-"/>
    <s v="-"/>
    <s v="-"/>
    <s v="-"/>
    <s v="-"/>
    <n v="29842.400000000001"/>
    <m/>
    <m/>
    <n v="1"/>
    <n v="0.98499999999999999"/>
    <n v="29394.764000000003"/>
    <n v="0"/>
    <s v="-"/>
    <n v="9020"/>
    <n v="31472"/>
    <n v="18714"/>
    <n v="26474"/>
    <n v="0.90063658956404613"/>
    <m/>
    <s v="코로나19영향으로 인한 사람들의 활동저하로 전력부하 사용이 줄어 발전량 하락"/>
    <s v="x"/>
    <m/>
    <m/>
    <m/>
    <m/>
    <s v="ㅇ"/>
    <s v="ㅇ"/>
  </r>
  <r>
    <n v="849"/>
    <x v="848"/>
    <n v="760"/>
    <x v="11"/>
    <n v="12"/>
    <x v="14"/>
    <x v="848"/>
    <s v="도봉구 도봉로169나길 22"/>
    <s v="㈜에스피브이"/>
    <n v="15.33"/>
    <n v="42"/>
    <n v="2.7397260273972601"/>
    <n v="0.95361156540106506"/>
    <m/>
    <n v="0"/>
    <n v="0"/>
    <n v="6.4459584000000003"/>
    <m/>
    <s v="-"/>
    <s v="-"/>
    <s v="-"/>
    <s v="-"/>
    <s v="-"/>
    <n v="17905.440000000002"/>
    <n v="20"/>
    <n v="0"/>
    <n v="0.98099999999999998"/>
    <n v="0.98499999999999999"/>
    <n v="17301.758090400002"/>
    <n v="0"/>
    <s v="-"/>
    <n v="18196"/>
    <n v="18257"/>
    <n v="11487"/>
    <n v="13983"/>
    <n v="0.80818376531102709"/>
    <m/>
    <m/>
    <s v="x"/>
    <m/>
    <m/>
    <m/>
    <m/>
    <s v="ㅇ"/>
    <s v="ㅇ"/>
  </r>
  <r>
    <n v="850"/>
    <x v="849"/>
    <n v="755"/>
    <x v="11"/>
    <n v="12"/>
    <x v="14"/>
    <x v="849"/>
    <s v="도봉구 방학로12길 28"/>
    <s v="㈜한국스카다"/>
    <n v="30.66"/>
    <n v="85"/>
    <n v="2.7723418134377038"/>
    <n v="0.96496408403679201"/>
    <m/>
    <n v="0"/>
    <n v="0"/>
    <n v="12.891916800000001"/>
    <m/>
    <s v="-"/>
    <s v="-"/>
    <s v="-"/>
    <s v="-"/>
    <s v="-"/>
    <n v="35810.880000000005"/>
    <n v="20"/>
    <n v="-50"/>
    <n v="0.94099999999999995"/>
    <n v="0.98499999999999999"/>
    <n v="33192.567508800006"/>
    <n v="0"/>
    <s v="-"/>
    <n v="35947"/>
    <n v="36149"/>
    <n v="14271"/>
    <n v="20254"/>
    <n v="0.61019684586407075"/>
    <s v="코로나19 휴관"/>
    <s v="코로나19 에 따른 시설휴관 등"/>
    <s v="x"/>
    <m/>
    <m/>
    <m/>
    <m/>
    <s v="ㅇ"/>
    <s v="ㅇ"/>
  </r>
  <r>
    <n v="851"/>
    <x v="850"/>
    <n v="750"/>
    <x v="11"/>
    <n v="12"/>
    <x v="14"/>
    <x v="850"/>
    <s v="도봉구 도봉동 86-1"/>
    <s v="이엔에이치㈜"/>
    <n v="26.295999999999999"/>
    <n v="211"/>
    <n v="8.0240340736233655"/>
    <n v="2.7929112682295041"/>
    <s v="구조물"/>
    <n v="6.8"/>
    <n v="86.198154345401065"/>
    <n v="4.2569420800000008"/>
    <s v="수리비용"/>
    <s v="-"/>
    <s v="-"/>
    <s v="-"/>
    <s v="-"/>
    <n v="6.8"/>
    <n v="30713.727999999999"/>
    <m/>
    <m/>
    <n v="1"/>
    <n v="0.98499999999999999"/>
    <n v="30253.022079999999"/>
    <n v="0"/>
    <s v="-"/>
    <n v="62"/>
    <n v="31838"/>
    <n v="21248"/>
    <n v="30728"/>
    <n v="1.0157001809189175"/>
    <m/>
    <m/>
    <s v="ㅇ"/>
    <s v=" 모니터링, 기타(방수공사)"/>
    <n v="6.8"/>
    <n v="7"/>
    <m/>
    <s v="ㅇ"/>
    <s v="ㅇ"/>
  </r>
  <r>
    <n v="852"/>
    <x v="851"/>
    <n v="774"/>
    <x v="11"/>
    <n v="12"/>
    <x v="14"/>
    <x v="851"/>
    <s v="도봉구 도당로13다길 39"/>
    <s v="㈜한국스카다"/>
    <n v="2.92"/>
    <n v="8"/>
    <n v="2.7397260273972601"/>
    <n v="0.95361156540106506"/>
    <m/>
    <n v="0"/>
    <n v="0"/>
    <n v="1.2278016"/>
    <m/>
    <s v="-"/>
    <s v="-"/>
    <s v="-"/>
    <s v="-"/>
    <s v="-"/>
    <n v="3410.56"/>
    <m/>
    <m/>
    <n v="1"/>
    <n v="0.98499999999999999"/>
    <n v="3359.4015999999997"/>
    <n v="0"/>
    <s v="-"/>
    <n v="30"/>
    <n v="3517"/>
    <n v="2120"/>
    <n v="2948"/>
    <n v="0.87753723758421742"/>
    <m/>
    <s v="코로나19영향으로 인한 사람들의 활동저하로 전력부하 사용이 줄어 발전량 하락"/>
    <s v="x"/>
    <m/>
    <m/>
    <m/>
    <m/>
    <s v="ㅇ"/>
    <s v="ㅇ"/>
  </r>
  <r>
    <n v="855"/>
    <x v="852"/>
    <n v="806"/>
    <x v="11"/>
    <n v="12"/>
    <x v="14"/>
    <x v="852"/>
    <s v="도봉구 노해로42길60-3"/>
    <s v="한국스카다"/>
    <n v="2.92"/>
    <n v="8"/>
    <n v="2.7397260273972601"/>
    <n v="0.95361156540106506"/>
    <m/>
    <n v="0"/>
    <n v="0"/>
    <n v="1.2278016"/>
    <m/>
    <s v="-"/>
    <s v="-"/>
    <s v="-"/>
    <s v="-"/>
    <s v="-"/>
    <n v="3410.56"/>
    <m/>
    <m/>
    <n v="1"/>
    <n v="0.98499999999999999"/>
    <n v="3359.4015999999997"/>
    <n v="0"/>
    <s v="-"/>
    <n v="30"/>
    <n v="3578"/>
    <n v="2219"/>
    <n v="3120"/>
    <n v="0.9287368321786833"/>
    <m/>
    <m/>
    <s v="x"/>
    <m/>
    <m/>
    <m/>
    <m/>
    <s v="ㅇ"/>
    <s v="ㅇ"/>
  </r>
  <r>
    <n v="861"/>
    <x v="853"/>
    <n v="788"/>
    <x v="11"/>
    <n v="3"/>
    <x v="38"/>
    <x v="853"/>
    <s v="노원구 중계동 산 42-3"/>
    <s v="㈜에너솔라"/>
    <n v="42.8"/>
    <n v="146"/>
    <n v="3.4112149532710281"/>
    <n v="1.1873355215005317"/>
    <s v="구조물"/>
    <n v="0"/>
    <n v="0"/>
    <n v="17.996544"/>
    <m/>
    <s v="-"/>
    <s v="-"/>
    <s v="-"/>
    <s v="-"/>
    <s v="-"/>
    <n v="49990.400000000001"/>
    <m/>
    <m/>
    <n v="1"/>
    <n v="0.98499999999999999"/>
    <n v="49240.544000000002"/>
    <n v="0"/>
    <s v="-"/>
    <s v="-"/>
    <n v="36078"/>
    <n v="20851"/>
    <n v="45089"/>
    <n v="0.91568850254781908"/>
    <m/>
    <m/>
    <s v="x"/>
    <m/>
    <m/>
    <m/>
    <m/>
    <s v="ㅇ"/>
    <s v="ㅇ"/>
  </r>
  <r>
    <n v="862"/>
    <x v="854"/>
    <n v="778"/>
    <x v="11"/>
    <n v="4"/>
    <x v="38"/>
    <x v="854"/>
    <s v="노원구 중계본동 34-5"/>
    <s v="㈜코텍에너지"/>
    <n v="6.3"/>
    <n v="16"/>
    <n v="2.5396825396825395"/>
    <n v="0.88398278443527301"/>
    <m/>
    <n v="0"/>
    <n v="0"/>
    <n v="2.6490239999999994"/>
    <m/>
    <s v="-"/>
    <s v="-"/>
    <s v="-"/>
    <s v="-"/>
    <s v="-"/>
    <n v="7358.4"/>
    <m/>
    <m/>
    <n v="1"/>
    <n v="0.98499999999999999"/>
    <n v="7248.0239999999994"/>
    <n v="0"/>
    <s v="-"/>
    <s v="-"/>
    <n v="6468"/>
    <n v="3692"/>
    <n v="6428"/>
    <n v="0.88686240553287354"/>
    <m/>
    <s v="주변건물(고층아파트) 등"/>
    <s v="x"/>
    <m/>
    <m/>
    <m/>
    <m/>
    <s v="ㅇ"/>
    <s v="ㅇ"/>
  </r>
  <r>
    <n v="863"/>
    <x v="855"/>
    <n v="863"/>
    <x v="11"/>
    <n v="5"/>
    <x v="38"/>
    <x v="855"/>
    <s v="노원구 상계동 966-15"/>
    <s v="㈜에너솔라"/>
    <n v="10.4"/>
    <n v="34"/>
    <n v="3.2692307692307692"/>
    <n v="1.1379153390987709"/>
    <s v="구조물"/>
    <n v="0"/>
    <n v="0"/>
    <n v="4.3729920000000009"/>
    <m/>
    <s v="-"/>
    <s v="-"/>
    <s v="-"/>
    <s v="-"/>
    <s v="-"/>
    <n v="12147.2"/>
    <m/>
    <m/>
    <n v="1"/>
    <n v="0.98499999999999999"/>
    <n v="11964.992"/>
    <n v="0"/>
    <s v="-"/>
    <s v="-"/>
    <n v="12900"/>
    <s v="(누적) 27442"/>
    <n v="12537"/>
    <n v="1.0478068017095206"/>
    <m/>
    <m/>
    <s v="x"/>
    <m/>
    <m/>
    <m/>
    <m/>
    <s v="ㅇ"/>
    <s v="ㅇ"/>
  </r>
  <r>
    <n v="864"/>
    <x v="856"/>
    <n v="810"/>
    <x v="11"/>
    <n v="5"/>
    <x v="38"/>
    <x v="856"/>
    <s v="노원구 월계동 936"/>
    <s v="(주)삼광산전"/>
    <n v="10.4"/>
    <n v="32"/>
    <n v="3.0769230769230766"/>
    <n v="1.0709791426811961"/>
    <m/>
    <n v="0"/>
    <n v="0"/>
    <n v="4.3729920000000009"/>
    <m/>
    <s v="-"/>
    <s v="-"/>
    <s v="-"/>
    <s v="-"/>
    <s v="-"/>
    <n v="12147.2"/>
    <m/>
    <m/>
    <n v="1"/>
    <n v="0.98499999999999999"/>
    <n v="11964.992"/>
    <n v="0"/>
    <s v="-"/>
    <n v="1848"/>
    <n v="11092"/>
    <n v="6395"/>
    <n v="11202"/>
    <n v="0.93623129877562805"/>
    <m/>
    <m/>
    <s v="x"/>
    <m/>
    <m/>
    <m/>
    <m/>
    <s v="ㅇ"/>
    <s v="ㅇ"/>
  </r>
  <r>
    <n v="860"/>
    <x v="857"/>
    <n v="859"/>
    <x v="11"/>
    <n v="8"/>
    <x v="38"/>
    <x v="857"/>
    <s v="노원구 동일로239다길 23"/>
    <s v="이앤에이치㈜"/>
    <n v="6"/>
    <n v="17"/>
    <n v="2.8333333333333335"/>
    <n v="0.98619329388560151"/>
    <m/>
    <n v="0"/>
    <n v="0"/>
    <n v="2.5228800000000007"/>
    <m/>
    <s v="-"/>
    <s v="-"/>
    <s v="-"/>
    <s v="-"/>
    <s v="-"/>
    <n v="7008.0000000000009"/>
    <m/>
    <m/>
    <n v="1"/>
    <n v="0.98499999999999999"/>
    <n v="6902.880000000001"/>
    <n v="0"/>
    <s v="-"/>
    <s v="-"/>
    <n v="7329"/>
    <n v="4132"/>
    <n v="7174"/>
    <n v="1.0392763600120527"/>
    <m/>
    <m/>
    <s v="x"/>
    <m/>
    <m/>
    <m/>
    <m/>
    <s v="ㅇ"/>
    <s v="ㅇ"/>
  </r>
  <r>
    <n v="867"/>
    <x v="858"/>
    <n v="813"/>
    <x v="11"/>
    <n v="8"/>
    <x v="38"/>
    <x v="858"/>
    <s v=" 노원구 마들로 31 (월계3동)"/>
    <s v="신성이엔지"/>
    <n v="0.9"/>
    <n v="1.7"/>
    <n v="1.8888888888888888"/>
    <n v="0.65746219592373434"/>
    <m/>
    <n v="0"/>
    <n v="0"/>
    <n v="0.37843200000000005"/>
    <m/>
    <s v="-"/>
    <s v="-"/>
    <s v="-"/>
    <s v="-"/>
    <s v="-"/>
    <n v="1051.2"/>
    <m/>
    <m/>
    <n v="1"/>
    <n v="0.98499999999999999"/>
    <n v="1035.432"/>
    <n v="0"/>
    <n v="0"/>
    <s v="-"/>
    <s v="-"/>
    <n v="556"/>
    <n v="976"/>
    <n v="0.94260173531434222"/>
    <m/>
    <m/>
    <s v="x"/>
    <m/>
    <m/>
    <m/>
    <m/>
    <s v="ㅇ"/>
    <s v="ㅇ"/>
  </r>
  <r>
    <n v="865"/>
    <x v="859"/>
    <n v="885"/>
    <x v="11"/>
    <n v="8"/>
    <x v="38"/>
    <x v="859"/>
    <s v="노원구 공릉로59가길 13"/>
    <s v="이앤에이치㈜"/>
    <n v="3"/>
    <n v="8"/>
    <n v="2.6666666666666665"/>
    <n v="0.92818192365703667"/>
    <m/>
    <n v="0"/>
    <n v="0"/>
    <n v="1.2614400000000003"/>
    <m/>
    <s v="-"/>
    <s v="-"/>
    <s v="-"/>
    <s v="-"/>
    <s v="-"/>
    <n v="3504.0000000000005"/>
    <m/>
    <m/>
    <n v="1"/>
    <n v="0.98499999999999999"/>
    <n v="3451.4400000000005"/>
    <n v="0"/>
    <s v="-"/>
    <s v="-"/>
    <n v="3899"/>
    <n v="2116"/>
    <n v="3824"/>
    <n v="1.1079433511809562"/>
    <m/>
    <m/>
    <s v="x"/>
    <m/>
    <m/>
    <m/>
    <m/>
    <s v="ㅇ"/>
    <s v="ㅇ"/>
  </r>
  <r>
    <n v="866"/>
    <x v="860"/>
    <n v="829"/>
    <x v="11"/>
    <n v="9"/>
    <x v="38"/>
    <x v="860"/>
    <s v="노원구 중계동 507 외 13개소"/>
    <s v="해드림사회적협동조합"/>
    <n v="4.2"/>
    <n v="9"/>
    <n v="2.1428571428571428"/>
    <n v="0.74586047436726166"/>
    <m/>
    <n v="0"/>
    <n v="0"/>
    <n v="1.7660160000000003"/>
    <m/>
    <s v="-"/>
    <s v="-"/>
    <s v="-"/>
    <s v="-"/>
    <s v="-"/>
    <n v="4905.6000000000004"/>
    <m/>
    <m/>
    <n v="1"/>
    <n v="0.98499999999999999"/>
    <n v="4832.0160000000005"/>
    <n v="0"/>
    <s v="-"/>
    <s v="-"/>
    <s v="-"/>
    <n v="2835.84"/>
    <n v="4708"/>
    <n v="0.97433452207111881"/>
    <m/>
    <m/>
    <s v="x"/>
    <m/>
    <m/>
    <m/>
    <m/>
    <s v="ㅇ"/>
    <s v="ㅇ"/>
  </r>
  <r>
    <n v="859"/>
    <x v="861"/>
    <n v="880"/>
    <x v="11"/>
    <n v="10"/>
    <x v="38"/>
    <x v="861"/>
    <s v="노원구 노원로1나길10"/>
    <s v="㈜파랑이엔지"/>
    <n v="19"/>
    <n v="54"/>
    <n v="2.8421052631578947"/>
    <n v="0.98924652389763124"/>
    <m/>
    <n v="0"/>
    <n v="0"/>
    <n v="7.9891199999999998"/>
    <m/>
    <s v="-"/>
    <s v="-"/>
    <s v="-"/>
    <s v="-"/>
    <s v="-"/>
    <n v="22192"/>
    <m/>
    <m/>
    <n v="1"/>
    <n v="0.98499999999999999"/>
    <n v="21859.119999999999"/>
    <n v="0"/>
    <s v="-"/>
    <s v="-"/>
    <n v="23898"/>
    <n v="13169"/>
    <n v="24006"/>
    <n v="1.0982143837446339"/>
    <m/>
    <m/>
    <s v="x"/>
    <m/>
    <m/>
    <m/>
    <m/>
    <s v="ㅇ"/>
    <s v="ㅇ"/>
  </r>
  <r>
    <n v="868"/>
    <x v="862"/>
    <n v="764"/>
    <x v="11"/>
    <n v="2"/>
    <x v="39"/>
    <x v="862"/>
    <s v="은평구 녹번동 86-157"/>
    <s v="태화계전"/>
    <n v="2.4"/>
    <n v="10"/>
    <n v="4.166666666666667"/>
    <n v="1.45028425571412"/>
    <s v="구조물"/>
    <n v="0"/>
    <n v="0"/>
    <n v="1.0091519999999998"/>
    <m/>
    <s v="-"/>
    <s v="-"/>
    <s v="-"/>
    <s v="-"/>
    <s v="-"/>
    <n v="2803.2"/>
    <n v="18"/>
    <n v="0"/>
    <n v="0.98099999999999998"/>
    <n v="0.98499999999999999"/>
    <n v="2708.6901119999998"/>
    <n v="0"/>
    <s v="-"/>
    <n v="81"/>
    <n v="2206"/>
    <s v="(누적)3931"/>
    <n v="2216"/>
    <n v="0.81810761230408335"/>
    <m/>
    <s v="코로나-19로 인한 장기간 휴관"/>
    <s v="x"/>
    <m/>
    <m/>
    <m/>
    <m/>
    <s v="ㅇ"/>
    <s v="ㅇ"/>
  </r>
  <r>
    <n v="869"/>
    <x v="863"/>
    <n v="915"/>
    <x v="11"/>
    <n v="2"/>
    <x v="39"/>
    <x v="863"/>
    <s v="은평구 역말로9길 27"/>
    <s v="㈜코텍에너지"/>
    <n v="3"/>
    <n v="14"/>
    <n v="4.666666666666667"/>
    <n v="1.6243183663998144"/>
    <s v="구조물"/>
    <n v="0"/>
    <n v="0"/>
    <n v="1.2614400000000003"/>
    <m/>
    <s v="-"/>
    <s v="-"/>
    <s v="-"/>
    <s v="-"/>
    <s v="-"/>
    <n v="3504.0000000000005"/>
    <n v="2"/>
    <n v="0"/>
    <n v="0.98099999999999998"/>
    <n v="0.98499999999999999"/>
    <n v="3385.8626400000003"/>
    <n v="0"/>
    <s v="-"/>
    <n v="4333"/>
    <n v="4220"/>
    <n v="2181"/>
    <n v="4809"/>
    <n v="1.4203175117582441"/>
    <m/>
    <m/>
    <s v="x"/>
    <m/>
    <m/>
    <m/>
    <m/>
    <s v="ㅇ"/>
    <s v="ㅇ"/>
  </r>
  <r>
    <n v="870"/>
    <x v="864"/>
    <n v="883"/>
    <x v="11"/>
    <n v="7"/>
    <x v="39"/>
    <x v="864"/>
    <s v="은평구 은평로 195"/>
    <s v="(주)코텍에너지"/>
    <n v="20.16"/>
    <n v="57"/>
    <n v="2.8273809523809526"/>
    <n v="0.98412145923458139"/>
    <s v="구조물"/>
    <n v="0"/>
    <n v="0"/>
    <n v="8.4768768000000012"/>
    <m/>
    <s v="-"/>
    <s v="-"/>
    <s v="-"/>
    <s v="-"/>
    <s v="-"/>
    <n v="23546.880000000001"/>
    <n v="30"/>
    <n v="0"/>
    <n v="0.999"/>
    <n v="0.98499999999999999"/>
    <n v="23170.4831232"/>
    <n v="0"/>
    <s v="-"/>
    <n v="14455"/>
    <n v="26743"/>
    <s v="(누적)15282"/>
    <n v="25562"/>
    <n v="1.10321394094737"/>
    <m/>
    <m/>
    <s v="x"/>
    <m/>
    <m/>
    <m/>
    <m/>
    <s v="ㅇ"/>
    <s v="ㅇ"/>
  </r>
  <r>
    <n v="871"/>
    <x v="865"/>
    <n v="895"/>
    <x v="11"/>
    <n v="7"/>
    <x v="39"/>
    <x v="865"/>
    <s v="은평구 서오릉로 87"/>
    <s v="코텍에너지"/>
    <n v="20.16"/>
    <n v="57"/>
    <n v="2.8273809523809526"/>
    <n v="0.98412145923458139"/>
    <m/>
    <n v="0"/>
    <n v="0"/>
    <n v="8.4768768000000012"/>
    <m/>
    <s v="-"/>
    <s v="-"/>
    <s v="-"/>
    <s v="-"/>
    <s v="-"/>
    <n v="23546.880000000001"/>
    <n v="10"/>
    <n v="0"/>
    <n v="0.94199999999999995"/>
    <n v="0.98499999999999999"/>
    <n v="21848.443545599999"/>
    <n v="0"/>
    <s v="-"/>
    <n v="13911"/>
    <n v="25410"/>
    <s v="(누적)57231"/>
    <n v="25224"/>
    <n v="1.154498715084892"/>
    <m/>
    <m/>
    <s v="x"/>
    <m/>
    <m/>
    <m/>
    <m/>
    <s v="ㅇ"/>
    <s v="ㅇ"/>
  </r>
  <r>
    <n v="872"/>
    <x v="866"/>
    <n v="828"/>
    <x v="11"/>
    <n v="7"/>
    <x v="39"/>
    <x v="866"/>
    <s v="은평구 불광천길 410-17"/>
    <s v="코텍에너지"/>
    <n v="5"/>
    <n v="15"/>
    <n v="3"/>
    <n v="1.0442046641141662"/>
    <m/>
    <n v="0"/>
    <n v="0"/>
    <n v="2.1023999999999998"/>
    <m/>
    <s v="-"/>
    <s v="-"/>
    <s v="-"/>
    <s v="-"/>
    <s v="-"/>
    <n v="5840"/>
    <n v="30"/>
    <n v="0"/>
    <n v="0.999"/>
    <n v="0.98499999999999999"/>
    <n v="5746.6476000000002"/>
    <n v="0"/>
    <s v="-"/>
    <n v="2183"/>
    <n v="4162"/>
    <n v="2926"/>
    <n v="5582"/>
    <n v="0.97134893046164861"/>
    <m/>
    <m/>
    <s v="x"/>
    <m/>
    <m/>
    <m/>
    <m/>
    <s v="ㅇ"/>
    <s v="ㅇ"/>
  </r>
  <r>
    <n v="873"/>
    <x v="867"/>
    <n v="765"/>
    <x v="11"/>
    <n v="8"/>
    <x v="40"/>
    <x v="867"/>
    <s v="서대문구 홍은동 14-3"/>
    <s v="마이크로발전소"/>
    <n v="8.5"/>
    <n v="0"/>
    <n v="0"/>
    <n v="0"/>
    <m/>
    <n v="0"/>
    <n v="0"/>
    <n v="3.5740800000000008"/>
    <m/>
    <s v="-"/>
    <s v="-"/>
    <s v="-"/>
    <s v="-"/>
    <s v="-"/>
    <n v="9928.0000000000018"/>
    <m/>
    <m/>
    <n v="1"/>
    <n v="0.98499999999999999"/>
    <n v="9779.0800000000017"/>
    <n v="0"/>
    <s v="-"/>
    <s v="-"/>
    <s v="-"/>
    <n v="4100"/>
    <n v="8058"/>
    <n v="0.82400389402684082"/>
    <m/>
    <s v="모니터링 시스템상 이유로 1~2월 발전량 모니터링 되지않음."/>
    <s v="x"/>
    <m/>
    <m/>
    <m/>
    <m/>
    <s v="ㅇ"/>
    <s v="ㅇ"/>
  </r>
  <r>
    <n v="874"/>
    <x v="868"/>
    <n v="886"/>
    <x v="11"/>
    <n v="8"/>
    <x v="40"/>
    <x v="868"/>
    <s v="서대문구 홍은중앙로5길 15"/>
    <s v="마이크로발전소"/>
    <n v="5.5"/>
    <n v="0"/>
    <n v="0"/>
    <n v="0"/>
    <m/>
    <n v="0"/>
    <n v="0"/>
    <n v="2.3126400000000005"/>
    <m/>
    <s v="-"/>
    <s v="-"/>
    <s v="-"/>
    <s v="-"/>
    <s v="-"/>
    <n v="6424.0000000000009"/>
    <m/>
    <m/>
    <n v="1"/>
    <n v="0.98499999999999999"/>
    <n v="6327.6400000000012"/>
    <n v="0"/>
    <s v="-"/>
    <s v="-"/>
    <s v="-"/>
    <s v="(누적) 14818"/>
    <n v="7036"/>
    <n v="1.1119469502057637"/>
    <m/>
    <m/>
    <s v="x"/>
    <m/>
    <m/>
    <m/>
    <m/>
    <s v="ㅇ"/>
    <s v="ㅇ"/>
  </r>
  <r>
    <n v="876"/>
    <x v="869"/>
    <n v="855"/>
    <x v="11"/>
    <n v="8"/>
    <x v="15"/>
    <x v="869"/>
    <s v="마포구 월드컵로 212"/>
    <s v="㈜에스피브이"/>
    <n v="51.75"/>
    <n v="135"/>
    <n v="2.6086956521739131"/>
    <n v="0.90800405575144894"/>
    <m/>
    <n v="0"/>
    <n v="0"/>
    <n v="21.759840000000004"/>
    <m/>
    <s v="-"/>
    <s v="-"/>
    <s v="-"/>
    <s v="-"/>
    <s v="-"/>
    <n v="60444.000000000007"/>
    <m/>
    <m/>
    <n v="1"/>
    <n v="0.98499999999999999"/>
    <n v="59537.340000000004"/>
    <n v="0"/>
    <s v="-"/>
    <n v="4500"/>
    <n v="62198"/>
    <n v="39878"/>
    <n v="61206"/>
    <n v="1.0280271170999578"/>
    <m/>
    <m/>
    <s v="x"/>
    <m/>
    <m/>
    <m/>
    <m/>
    <s v="ㅇ"/>
    <s v="ㅇ"/>
  </r>
  <r>
    <n v="875"/>
    <x v="870"/>
    <n v="804"/>
    <x v="11"/>
    <n v="11"/>
    <x v="15"/>
    <x v="870"/>
    <s v="마포구 성산로4길 15"/>
    <s v="한양전공㈜"/>
    <n v="5"/>
    <n v="20"/>
    <n v="4"/>
    <n v="1.3922728854855551"/>
    <s v="구조물"/>
    <n v="0"/>
    <n v="0"/>
    <n v="2.1023999999999998"/>
    <m/>
    <s v="-"/>
    <s v="-"/>
    <s v="-"/>
    <s v="-"/>
    <s v="-"/>
    <n v="5840"/>
    <m/>
    <m/>
    <n v="1"/>
    <n v="0.98499999999999999"/>
    <n v="5752.4"/>
    <n v="0"/>
    <s v="-"/>
    <s v="-"/>
    <n v="3285"/>
    <n v="2984"/>
    <n v="5327"/>
    <n v="0.92604825811835068"/>
    <m/>
    <m/>
    <s v="x"/>
    <m/>
    <m/>
    <m/>
    <m/>
    <s v="ㅇ"/>
    <s v="ㅇ"/>
  </r>
  <r>
    <n v="877"/>
    <x v="871"/>
    <n v="867"/>
    <x v="11"/>
    <n v="7"/>
    <x v="56"/>
    <x v="871"/>
    <s v="양천구 목동중앙본로73"/>
    <s v="현대SWD산업"/>
    <n v="30"/>
    <n v="84"/>
    <n v="2.8"/>
    <n v="0.97459101983988849"/>
    <m/>
    <n v="0"/>
    <n v="0"/>
    <n v="12.6144"/>
    <m/>
    <s v="-"/>
    <s v="-"/>
    <s v="-"/>
    <s v="-"/>
    <s v="-"/>
    <n v="35040"/>
    <m/>
    <m/>
    <n v="1"/>
    <n v="0.98499999999999999"/>
    <n v="34514.400000000001"/>
    <n v="0"/>
    <s v="-"/>
    <n v="14489"/>
    <n v="36083"/>
    <n v="12798"/>
    <n v="36288"/>
    <n v="1.0513872470620957"/>
    <m/>
    <m/>
    <s v="x"/>
    <m/>
    <m/>
    <m/>
    <m/>
    <s v="ㅇ"/>
    <s v="ㅇ"/>
  </r>
  <r>
    <n v="878"/>
    <x v="872"/>
    <n v="769"/>
    <x v="11"/>
    <n v="9"/>
    <x v="65"/>
    <x v="872"/>
    <s v="강서구 개화동로13길 12-8"/>
    <s v="㈜이맥스시스템"/>
    <n v="3"/>
    <n v="14"/>
    <n v="4.666666666666667"/>
    <n v="1.6243183663998144"/>
    <s v="구조물"/>
    <n v="0"/>
    <n v="0"/>
    <n v="1.2614400000000003"/>
    <m/>
    <m/>
    <m/>
    <m/>
    <m/>
    <m/>
    <n v="3504.0000000000005"/>
    <n v="35"/>
    <n v="-20"/>
    <n v="0.99"/>
    <n v="0.98499999999999999"/>
    <n v="3416.9256000000005"/>
    <n v="0"/>
    <s v="-"/>
    <s v="-"/>
    <n v="3153"/>
    <n v="2847"/>
    <n v="2951"/>
    <n v="0.86364186565841516"/>
    <m/>
    <m/>
    <s v="x"/>
    <m/>
    <m/>
    <m/>
    <m/>
    <s v="ㅇ"/>
    <s v="ㅇ"/>
  </r>
  <r>
    <n v="879"/>
    <x v="873"/>
    <n v="832"/>
    <x v="11"/>
    <n v="9"/>
    <x v="65"/>
    <x v="873"/>
    <s v="강서구 양천로251"/>
    <s v="㈜이맥스시스템"/>
    <n v="60.48"/>
    <n v="172"/>
    <n v="2.8439153439153442"/>
    <n v="0.98987655548741527"/>
    <m/>
    <n v="0"/>
    <n v="0"/>
    <n v="25.430630399999998"/>
    <m/>
    <m/>
    <m/>
    <m/>
    <m/>
    <m/>
    <n v="70640.639999999999"/>
    <n v="35"/>
    <n v="10"/>
    <n v="0.997"/>
    <n v="0.98499999999999999"/>
    <n v="69372.287308799991"/>
    <n v="0"/>
    <s v="-"/>
    <s v="-"/>
    <n v="68429"/>
    <n v="41198"/>
    <n v="67841"/>
    <n v="0.97792652702968119"/>
    <m/>
    <m/>
    <s v="x"/>
    <m/>
    <m/>
    <m/>
    <m/>
    <s v="ㅇ"/>
    <s v="ㅇ"/>
  </r>
  <r>
    <n v="880"/>
    <x v="874"/>
    <n v="793"/>
    <x v="11"/>
    <n v="9"/>
    <x v="65"/>
    <x v="874"/>
    <s v="강서구 화곡동 466-9"/>
    <s v="㈜이맥스시스템"/>
    <n v="5"/>
    <n v="10"/>
    <n v="2"/>
    <n v="0.69613644274277753"/>
    <m/>
    <n v="0"/>
    <n v="0"/>
    <n v="2.1023999999999998"/>
    <m/>
    <m/>
    <m/>
    <m/>
    <m/>
    <m/>
    <n v="5840"/>
    <n v="35"/>
    <n v="20"/>
    <n v="0.99099999999999999"/>
    <n v="0.98499999999999999"/>
    <n v="5700.6283999999996"/>
    <n v="0"/>
    <s v="-"/>
    <s v="-"/>
    <n v="5134"/>
    <n v="3406"/>
    <n v="5233"/>
    <n v="0.91796897338546046"/>
    <m/>
    <m/>
    <s v="x"/>
    <m/>
    <m/>
    <m/>
    <m/>
    <s v="ㅇ"/>
    <s v="ㅇ"/>
  </r>
  <r>
    <n v="883"/>
    <x v="875"/>
    <n v="842"/>
    <x v="11"/>
    <n v="8"/>
    <x v="16"/>
    <x v="875"/>
    <s v="구로구 오리로1352"/>
    <s v="헥스파워시스템㈜"/>
    <n v="16"/>
    <n v="43"/>
    <n v="2.6875"/>
    <n v="0.93543334493560726"/>
    <m/>
    <n v="0"/>
    <n v="0"/>
    <n v="6.7276800000000003"/>
    <m/>
    <s v="-"/>
    <s v="-"/>
    <s v="-"/>
    <s v="-"/>
    <s v="-"/>
    <n v="18688"/>
    <m/>
    <m/>
    <n v="1"/>
    <n v="0.98499999999999999"/>
    <n v="18407.68"/>
    <n v="0"/>
    <s v="-"/>
    <n v="4414"/>
    <s v="-"/>
    <n v="11663"/>
    <n v="18449"/>
    <n v="1.0022447152492873"/>
    <m/>
    <m/>
    <s v="x"/>
    <m/>
    <m/>
    <m/>
    <m/>
    <s v="ㅇ"/>
    <s v="ㅇ"/>
  </r>
  <r>
    <n v="881"/>
    <x v="876"/>
    <n v="845"/>
    <x v="11"/>
    <n v="12"/>
    <x v="16"/>
    <x v="876"/>
    <s v="구로구 우마길 17"/>
    <s v="쏠라리버㈜"/>
    <n v="13.26"/>
    <n v="35"/>
    <n v="2.6395173453996983"/>
    <n v="0.91873210769220259"/>
    <m/>
    <n v="0"/>
    <n v="0"/>
    <n v="5.5755647999999995"/>
    <m/>
    <s v="-"/>
    <s v="-"/>
    <s v="-"/>
    <s v="-"/>
    <s v="-"/>
    <n v="15487.68"/>
    <m/>
    <m/>
    <n v="1"/>
    <n v="0.98499999999999999"/>
    <n v="15255.364799999999"/>
    <n v="0"/>
    <s v="-"/>
    <s v="-"/>
    <s v="-"/>
    <n v="3811"/>
    <n v="15366"/>
    <n v="1.0072522159548751"/>
    <m/>
    <m/>
    <s v="x"/>
    <m/>
    <m/>
    <m/>
    <m/>
    <s v="ㅇ"/>
    <s v="ㅇ"/>
  </r>
  <r>
    <n v="882"/>
    <x v="877"/>
    <n v="847"/>
    <x v="11"/>
    <n v="12"/>
    <x v="16"/>
    <x v="877"/>
    <s v="구로구 우마2길 29-5"/>
    <s v="㈜에너솔라"/>
    <n v="11.2"/>
    <n v="40"/>
    <n v="3.5714285714285716"/>
    <n v="1.2431007906121028"/>
    <s v="구조물"/>
    <n v="0"/>
    <n v="0"/>
    <n v="4.7093759999999989"/>
    <m/>
    <s v="-"/>
    <s v="-"/>
    <s v="-"/>
    <s v="-"/>
    <s v="-"/>
    <n v="13081.599999999999"/>
    <m/>
    <m/>
    <n v="1"/>
    <n v="0.98499999999999999"/>
    <n v="12885.375999999998"/>
    <n v="0"/>
    <s v="-"/>
    <s v="-"/>
    <s v="-"/>
    <n v="6110"/>
    <n v="13016"/>
    <n v="1.0101373836510477"/>
    <m/>
    <m/>
    <s v="x"/>
    <m/>
    <m/>
    <m/>
    <m/>
    <s v="ㅇ"/>
    <s v="ㅇ"/>
  </r>
  <r>
    <n v="884"/>
    <x v="878"/>
    <n v="848"/>
    <x v="11"/>
    <n v="12"/>
    <x v="16"/>
    <x v="878"/>
    <s v="구로구 우마2길 35 구로구가족통합지원센터 2층"/>
    <s v="㈜에너솔라"/>
    <n v="11.2"/>
    <n v="36"/>
    <n v="3.2142857142857144"/>
    <n v="1.1187907115508926"/>
    <s v="구조물"/>
    <n v="0"/>
    <n v="0"/>
    <n v="4.7093759999999989"/>
    <m/>
    <s v="-"/>
    <s v="-"/>
    <s v="-"/>
    <s v="-"/>
    <s v="-"/>
    <n v="13081.599999999999"/>
    <m/>
    <m/>
    <n v="1"/>
    <n v="0.98499999999999999"/>
    <n v="12885.375999999998"/>
    <n v="0"/>
    <s v="-"/>
    <s v="-"/>
    <s v="-"/>
    <n v="6110"/>
    <n v="13016"/>
    <n v="1.0101373836510477"/>
    <m/>
    <m/>
    <s v="x"/>
    <m/>
    <m/>
    <m/>
    <m/>
    <s v="ㅇ"/>
    <s v="ㅇ"/>
  </r>
  <r>
    <n v="888"/>
    <x v="879"/>
    <n v="802"/>
    <x v="11"/>
    <n v="5"/>
    <x v="41"/>
    <x v="879"/>
    <s v="금천구 탑골로8길 23"/>
    <s v="(주)코텍에너지"/>
    <n v="6"/>
    <n v="18"/>
    <n v="3"/>
    <n v="1.0442046641141662"/>
    <m/>
    <n v="0"/>
    <n v="0"/>
    <n v="2.5228800000000007"/>
    <m/>
    <s v="-"/>
    <s v="-"/>
    <m/>
    <m/>
    <s v="-"/>
    <n v="7008.0000000000009"/>
    <m/>
    <m/>
    <n v="1"/>
    <n v="0.98499999999999999"/>
    <n v="6902.880000000001"/>
    <n v="0"/>
    <s v="-"/>
    <n v="2205"/>
    <n v="4113"/>
    <n v="3263"/>
    <n v="6375"/>
    <n v="0.92352757110075778"/>
    <m/>
    <m/>
    <s v="x"/>
    <m/>
    <m/>
    <m/>
    <m/>
    <s v="ㅇ"/>
    <s v="ㅇ"/>
  </r>
  <r>
    <n v="889"/>
    <x v="880"/>
    <n v="815"/>
    <x v="11"/>
    <n v="5"/>
    <x v="41"/>
    <x v="880"/>
    <s v="금천구 독산동 1043-51"/>
    <s v="㈜한국스카다"/>
    <n v="20"/>
    <n v="65"/>
    <n v="3.25"/>
    <n v="1.1312217194570136"/>
    <s v="구조물"/>
    <n v="0"/>
    <n v="0"/>
    <n v="8.4095999999999993"/>
    <m/>
    <s v="-"/>
    <s v="-"/>
    <s v="-"/>
    <s v="-"/>
    <s v="-"/>
    <n v="23360"/>
    <m/>
    <m/>
    <n v="1"/>
    <n v="0.98499999999999999"/>
    <n v="23009.599999999999"/>
    <n v="0"/>
    <s v="-"/>
    <n v="14464"/>
    <n v="24197"/>
    <n v="14700"/>
    <n v="21814"/>
    <n v="0.9480390793407969"/>
    <m/>
    <m/>
    <s v="x"/>
    <m/>
    <m/>
    <m/>
    <m/>
    <s v="ㅇ"/>
    <s v="ㅇ"/>
  </r>
  <r>
    <n v="887"/>
    <x v="881"/>
    <n v="862"/>
    <x v="11"/>
    <n v="7"/>
    <x v="41"/>
    <x v="881"/>
    <s v="금천구 시흥5동 247-19"/>
    <s v="㈜풍성인더스"/>
    <n v="8.4"/>
    <n v="25"/>
    <n v="2.9761904761904763"/>
    <n v="1.0359173255100858"/>
    <m/>
    <n v="0"/>
    <n v="0"/>
    <n v="3.5320320000000005"/>
    <m/>
    <s v="-"/>
    <s v="-"/>
    <s v="-"/>
    <m/>
    <s v="-"/>
    <n v="9811.2000000000007"/>
    <m/>
    <m/>
    <n v="1"/>
    <n v="0.98499999999999999"/>
    <n v="9664.0320000000011"/>
    <n v="0"/>
    <s v="-"/>
    <n v="3777"/>
    <n v="8813"/>
    <n v="4400"/>
    <n v="10110"/>
    <n v="1.0461471981880854"/>
    <m/>
    <m/>
    <s v="x"/>
    <m/>
    <m/>
    <m/>
    <m/>
    <s v="ㅇ"/>
    <s v="ㅇ"/>
  </r>
  <r>
    <n v="885"/>
    <x v="882"/>
    <n v="785"/>
    <x v="11"/>
    <n v="11"/>
    <x v="41"/>
    <x v="882"/>
    <s v="금천구 독산동 1151"/>
    <s v="㈜풍성인더스"/>
    <n v="8.14"/>
    <n v="17"/>
    <n v="2.0884520884520885"/>
    <n v="0.72692380384688071"/>
    <m/>
    <n v="0"/>
    <n v="0"/>
    <n v="3.4227072000000001"/>
    <m/>
    <s v="-"/>
    <s v="-"/>
    <s v="-"/>
    <s v="-"/>
    <s v="-"/>
    <n v="9507.52"/>
    <m/>
    <m/>
    <n v="1"/>
    <n v="0.98499999999999999"/>
    <n v="9364.9071999999996"/>
    <n v="0"/>
    <s v="-"/>
    <n v="532"/>
    <n v="6388"/>
    <n v="4805"/>
    <n v="8500"/>
    <n v="0.90764380452162952"/>
    <m/>
    <m/>
    <s v="x"/>
    <m/>
    <m/>
    <m/>
    <m/>
    <s v="ㅇ"/>
    <s v="ㅇ"/>
  </r>
  <r>
    <n v="886"/>
    <x v="883"/>
    <n v="819"/>
    <x v="11"/>
    <n v="12"/>
    <x v="41"/>
    <x v="883"/>
    <s v="금천구 시흥동1020"/>
    <s v="(주)풍성인더스"/>
    <n v="6"/>
    <n v="17"/>
    <n v="2.8333333333333335"/>
    <n v="0.98619329388560151"/>
    <m/>
    <n v="0"/>
    <n v="0"/>
    <n v="2.5228800000000007"/>
    <m/>
    <s v="-"/>
    <s v="-"/>
    <s v="-"/>
    <s v="-"/>
    <s v="-"/>
    <n v="7008.0000000000009"/>
    <m/>
    <m/>
    <n v="1"/>
    <n v="0.98499999999999999"/>
    <n v="6902.880000000001"/>
    <n v="0"/>
    <s v="-"/>
    <n v="190"/>
    <n v="5760"/>
    <n v="4321"/>
    <n v="6618"/>
    <n v="0.95873026910506909"/>
    <m/>
    <m/>
    <s v="x"/>
    <m/>
    <m/>
    <m/>
    <m/>
    <s v="ㅇ"/>
    <s v="ㅇ"/>
  </r>
  <r>
    <n v="893"/>
    <x v="884"/>
    <n v="733"/>
    <x v="11"/>
    <n v="5"/>
    <x v="17"/>
    <x v="884"/>
    <s v="영등포구 도림동 254"/>
    <s v="유니테스트"/>
    <n v="61.2"/>
    <n v="172"/>
    <n v="2.8104575163398691"/>
    <n v="0.97823094895226903"/>
    <m/>
    <n v="3.47"/>
    <n v="18.899782135076254"/>
    <n v="22.263376000000004"/>
    <s v="소모품 교체 등"/>
    <s v="-"/>
    <s v="-"/>
    <n v="0.77"/>
    <n v="1.8"/>
    <n v="0.9"/>
    <n v="71481.600000000006"/>
    <n v="2"/>
    <n v="-35"/>
    <n v="0.9"/>
    <n v="0.98499999999999999"/>
    <n v="63368.438399999999"/>
    <n v="0"/>
    <s v="-"/>
    <n v="28535"/>
    <n v="64325"/>
    <n v="23540"/>
    <n v="51812"/>
    <n v="0.8176310054059972"/>
    <m/>
    <m/>
    <s v="x"/>
    <m/>
    <m/>
    <m/>
    <m/>
    <s v="ㅇ"/>
    <s v="ㅇ"/>
  </r>
  <r>
    <n v="894"/>
    <x v="885"/>
    <n v="746"/>
    <x v="11"/>
    <n v="6"/>
    <x v="17"/>
    <x v="885"/>
    <s v="영등포구 도산로15길 11"/>
    <s v="(주)대연씨앤아이"/>
    <n v="20.16"/>
    <n v="57"/>
    <n v="2.8273809523809526"/>
    <n v="0.98412145923458139"/>
    <m/>
    <n v="0.30600000000000005"/>
    <n v="5.0595238095238102"/>
    <n v="8.170876800000002"/>
    <m/>
    <s v="-"/>
    <s v="-"/>
    <s v="-"/>
    <n v="0.17"/>
    <n v="0.13600000000000001"/>
    <n v="23546.880000000001"/>
    <m/>
    <m/>
    <n v="1"/>
    <n v="0.98499999999999999"/>
    <n v="23193.676800000001"/>
    <n v="0"/>
    <s v="-"/>
    <n v="27744"/>
    <n v="22238"/>
    <n v="9100"/>
    <n v="19548.100000000002"/>
    <n v="0.84282022934802647"/>
    <m/>
    <m/>
    <s v="x"/>
    <m/>
    <m/>
    <m/>
    <m/>
    <s v="ㅇ"/>
    <s v="ㅇ"/>
  </r>
  <r>
    <n v="897"/>
    <x v="886"/>
    <n v="906"/>
    <x v="11"/>
    <n v="6"/>
    <x v="17"/>
    <x v="886"/>
    <s v="영등포구 영등포로29길 13"/>
    <s v="(주)대연씨앤아이"/>
    <n v="3"/>
    <n v="8"/>
    <n v="2.6666666666666665"/>
    <n v="0.92818192365703667"/>
    <m/>
    <n v="0"/>
    <n v="0"/>
    <n v="1.2614400000000003"/>
    <m/>
    <s v="-"/>
    <s v="-"/>
    <s v="-"/>
    <s v="-"/>
    <s v="-"/>
    <n v="3504.0000000000005"/>
    <m/>
    <m/>
    <n v="1"/>
    <n v="0.98499999999999999"/>
    <n v="3451.4400000000005"/>
    <n v="0"/>
    <s v="-"/>
    <s v="-"/>
    <s v="-"/>
    <s v="(2020.2.20._x000a_기준 누적)_x000a_7147"/>
    <n v="4088"/>
    <n v="1.1844331641285955"/>
    <m/>
    <m/>
    <s v="x"/>
    <m/>
    <m/>
    <m/>
    <m/>
    <s v="ㅇ"/>
    <s v="ㅇ"/>
  </r>
  <r>
    <n v="891"/>
    <x v="887"/>
    <n v="800"/>
    <x v="11"/>
    <n v="6"/>
    <x v="17"/>
    <x v="887"/>
    <s v="영등포구 선유동1로 80"/>
    <s v="삼광산전"/>
    <n v="5.6"/>
    <n v="14.2"/>
    <n v="2.5357142857142856"/>
    <n v="0.88260156133459289"/>
    <m/>
    <n v="0"/>
    <n v="0"/>
    <n v="2.3546879999999994"/>
    <m/>
    <s v="-"/>
    <s v="-"/>
    <s v="-"/>
    <s v="-"/>
    <s v="-"/>
    <n v="6540.7999999999993"/>
    <m/>
    <m/>
    <n v="1"/>
    <n v="0.98499999999999999"/>
    <n v="6442.6879999999992"/>
    <n v="0"/>
    <s v="-"/>
    <s v="-"/>
    <s v="-"/>
    <s v="(누적)12052"/>
    <n v="5935.9500000000007"/>
    <n v="0.92134680431521776"/>
    <m/>
    <m/>
    <s v="x"/>
    <m/>
    <m/>
    <m/>
    <m/>
    <s v="ㅇ"/>
    <s v="ㅇ"/>
  </r>
  <r>
    <n v="892"/>
    <x v="888"/>
    <n v="738"/>
    <x v="11"/>
    <n v="6"/>
    <x v="17"/>
    <x v="888"/>
    <s v="영등포구 노들로 59"/>
    <s v="(주)대연씨앤아이"/>
    <n v="25.875"/>
    <n v="163"/>
    <n v="6.2995169082125608"/>
    <n v="2.1926616457405363"/>
    <s v="구조물"/>
    <n v="1.6360000000000001"/>
    <n v="21.075684380032207"/>
    <n v="9.2439200000000028"/>
    <s v="안전관리"/>
    <s v="-"/>
    <s v="-"/>
    <n v="0.5"/>
    <n v="0.5"/>
    <n v="0.63600000000000001"/>
    <n v="30222.000000000004"/>
    <m/>
    <m/>
    <n v="1"/>
    <n v="0.98499999999999999"/>
    <n v="29768.670000000002"/>
    <n v="0"/>
    <s v="-"/>
    <n v="23030"/>
    <n v="24118"/>
    <n v="11375"/>
    <n v="23435"/>
    <n v="0.78723705157133317"/>
    <s v="주변환경 변화에 따른 음영"/>
    <s v="소나무 숲길 도로변에 설치된 방음벽태양광으로 디자인특화 및 주변 나무가 많아 효율 저하"/>
    <s v="x"/>
    <m/>
    <m/>
    <m/>
    <m/>
    <s v="ㅇ"/>
    <s v="ㅇ"/>
  </r>
  <r>
    <n v="890"/>
    <x v="889"/>
    <n v="744"/>
    <x v="11"/>
    <n v="8"/>
    <x v="17"/>
    <x v="889"/>
    <s v="영등포구 도림로 482"/>
    <s v="유니테스트"/>
    <n v="32.4"/>
    <n v="91.2"/>
    <n v="2.8148148148148149"/>
    <n v="0.97974758608242762"/>
    <m/>
    <n v="0.51"/>
    <n v="5.2469135802469147"/>
    <n v="13.113552"/>
    <m/>
    <s v="-"/>
    <s v="-"/>
    <n v="7.0000000000000007E-2"/>
    <n v="0.22"/>
    <n v="0.22"/>
    <n v="37843.200000000004"/>
    <m/>
    <m/>
    <n v="1"/>
    <n v="0.98499999999999999"/>
    <n v="37275.552000000003"/>
    <n v="0"/>
    <s v="-"/>
    <n v="3352"/>
    <n v="24754"/>
    <n v="16429"/>
    <n v="34759"/>
    <n v="0.93248786765116176"/>
    <m/>
    <m/>
    <s v="x"/>
    <m/>
    <m/>
    <m/>
    <m/>
    <s v="ㅇ"/>
    <s v="ㅇ"/>
  </r>
  <r>
    <n v="896"/>
    <x v="890"/>
    <n v="748"/>
    <x v="11"/>
    <n v="11"/>
    <x v="17"/>
    <x v="890"/>
    <s v="영등포구 양평동 35-2"/>
    <s v="(주)대연씨앤아이"/>
    <n v="15"/>
    <n v="56"/>
    <n v="3.7333333333333334"/>
    <n v="1.2994546931198514"/>
    <s v="구조물"/>
    <n v="0.2"/>
    <n v="4.4444444444444446"/>
    <n v="6.1071999999999997"/>
    <m/>
    <s v="-"/>
    <s v="-"/>
    <s v="-"/>
    <n v="0.1"/>
    <n v="0.1"/>
    <n v="17520"/>
    <m/>
    <m/>
    <n v="1"/>
    <n v="0.98499999999999999"/>
    <n v="17257.2"/>
    <n v="0"/>
    <s v="-"/>
    <n v="1213"/>
    <n v="19048"/>
    <n v="12500"/>
    <n v="18551"/>
    <n v="1.0749716060542844"/>
    <m/>
    <m/>
    <s v="x"/>
    <m/>
    <m/>
    <m/>
    <m/>
    <s v="ㅇ"/>
    <s v="ㅇ"/>
  </r>
  <r>
    <n v="898"/>
    <x v="891"/>
    <n v="873"/>
    <x v="11"/>
    <n v="12"/>
    <x v="17"/>
    <x v="891"/>
    <s v="영등포구 신길로 275"/>
    <s v="에이컴에너지㈜"/>
    <n v="15"/>
    <n v="42.918999999999997"/>
    <n v="2.8612666666666664"/>
    <n v="0.99591599953590892"/>
    <m/>
    <n v="0"/>
    <n v="0"/>
    <n v="6.3071999999999999"/>
    <m/>
    <s v="-"/>
    <s v="-"/>
    <s v="-"/>
    <n v="0"/>
    <s v="-"/>
    <n v="17520"/>
    <m/>
    <m/>
    <n v="1"/>
    <n v="0.98499999999999999"/>
    <n v="17257.2"/>
    <n v="0"/>
    <s v="-"/>
    <n v="1400"/>
    <n v="18900"/>
    <s v="(누적)67000"/>
    <n v="18493"/>
    <n v="1.0716106900308278"/>
    <m/>
    <m/>
    <s v="x"/>
    <m/>
    <m/>
    <m/>
    <m/>
    <s v="ㅇ"/>
    <s v="ㅇ"/>
  </r>
  <r>
    <n v="895"/>
    <x v="892"/>
    <n v="747"/>
    <x v="11"/>
    <n v="12"/>
    <x v="17"/>
    <x v="892"/>
    <s v="영등포구 선유로47길 30"/>
    <s v="유니테스트"/>
    <n v="12"/>
    <n v="24.3"/>
    <n v="2.0249999999999999"/>
    <n v="0.70483814827706226"/>
    <m/>
    <n v="0.21000000000000002"/>
    <n v="5.8333333333333339"/>
    <n v="4.8357600000000014"/>
    <m/>
    <s v="-"/>
    <s v="-"/>
    <s v="-"/>
    <n v="0.1"/>
    <n v="0.11"/>
    <n v="14016.000000000002"/>
    <m/>
    <m/>
    <n v="1"/>
    <n v="0.98499999999999999"/>
    <n v="13805.760000000002"/>
    <n v="0"/>
    <s v="-"/>
    <s v="-"/>
    <s v="-"/>
    <n v="12000"/>
    <n v="13406"/>
    <n v="0.97104397005307919"/>
    <m/>
    <m/>
    <s v="x"/>
    <m/>
    <m/>
    <m/>
    <m/>
    <s v="ㅇ"/>
    <s v="ㅇ"/>
  </r>
  <r>
    <n v="901"/>
    <x v="893"/>
    <n v="817"/>
    <x v="11"/>
    <n v="4"/>
    <x v="42"/>
    <x v="893"/>
    <s v="동작구 상도동 235023"/>
    <s v="마이크로발전소"/>
    <n v="5"/>
    <n v="0"/>
    <n v="0"/>
    <n v="0"/>
    <m/>
    <n v="0"/>
    <n v="0"/>
    <n v="2.1023999999999998"/>
    <m/>
    <m/>
    <m/>
    <m/>
    <m/>
    <m/>
    <n v="5840"/>
    <m/>
    <m/>
    <n v="1"/>
    <n v="0.98499999999999999"/>
    <n v="5752.4"/>
    <n v="0"/>
    <s v="-"/>
    <s v="-"/>
    <s v="-"/>
    <s v="(누적)54666"/>
    <n v="5466"/>
    <n v="0.95021208539044577"/>
    <m/>
    <s v="2020.7월 제출한 누적값 54,666kW를 기재 착오로 판단, 5,466kW로 보고 2020년 발전량으로 기재"/>
    <s v="x"/>
    <m/>
    <m/>
    <m/>
    <m/>
    <s v="ㅇ"/>
    <s v="ㅇ"/>
  </r>
  <r>
    <n v="903"/>
    <x v="894"/>
    <n v="745"/>
    <x v="11"/>
    <n v="4"/>
    <x v="42"/>
    <x v="894"/>
    <s v="동작구 상도동 283-226"/>
    <s v="마이크로발전소"/>
    <n v="9"/>
    <n v="0"/>
    <n v="0"/>
    <n v="0"/>
    <m/>
    <n v="0.5"/>
    <n v="18.518518518518519"/>
    <n v="3.2843200000000001"/>
    <m/>
    <s v="-"/>
    <s v="-"/>
    <n v="0.5"/>
    <m/>
    <m/>
    <n v="10512"/>
    <n v="15"/>
    <n v="-40"/>
    <n v="0.94299999999999995"/>
    <n v="0.98499999999999999"/>
    <n v="9764.1237600000004"/>
    <n v="0"/>
    <s v="-"/>
    <s v="-"/>
    <s v="-"/>
    <n v="6759"/>
    <n v="7524"/>
    <n v="0.77057605832722464"/>
    <s v="주변환경 변화에 따른 음영"/>
    <s v="옥상위 태양광 패널 남동면에 옥상공간 활용을 위한 그늘막이 설치되어 음영 발생"/>
    <s v="x"/>
    <m/>
    <m/>
    <m/>
    <m/>
    <s v="ㅇ"/>
    <s v="ㅇ"/>
  </r>
  <r>
    <n v="899"/>
    <x v="895"/>
    <n v="743"/>
    <x v="11"/>
    <n v="12"/>
    <x v="42"/>
    <x v="895"/>
    <s v="동작구 여의대방로44길 39"/>
    <s v="에이컴에너지㈜"/>
    <n v="6"/>
    <n v="15"/>
    <n v="2.5"/>
    <n v="0.87017055342847194"/>
    <m/>
    <n v="0.7"/>
    <n v="38.888888888888886"/>
    <n v="1.8228800000000007"/>
    <m/>
    <s v="-"/>
    <s v="-"/>
    <n v="0.2"/>
    <n v="0.2"/>
    <n v="0.3"/>
    <n v="7008.0000000000009"/>
    <m/>
    <m/>
    <n v="1"/>
    <n v="0.98499999999999999"/>
    <n v="6902.880000000001"/>
    <n v="0"/>
    <s v="-"/>
    <s v="-"/>
    <n v="7683"/>
    <n v="1761"/>
    <n v="6197"/>
    <n v="0.89774123264492489"/>
    <m/>
    <s v="2020년 5월 모니터링 장치 설치하여 8개월간 측정값(4,131kW)을 한단 평균으로 환산, 12개월 값 산출"/>
    <s v="x"/>
    <m/>
    <m/>
    <m/>
    <m/>
    <s v="ㅇ"/>
    <s v="ㅇ"/>
  </r>
  <r>
    <n v="900"/>
    <x v="896"/>
    <n v="854"/>
    <x v="11"/>
    <n v="12"/>
    <x v="42"/>
    <x v="896"/>
    <s v="동작구 여의대방로16길 53"/>
    <s v="(주)코텍에너지"/>
    <n v="80.64"/>
    <n v="205"/>
    <n v="2.5421626984126986"/>
    <n v="0.88484604887319818"/>
    <m/>
    <n v="0"/>
    <n v="0"/>
    <n v="33.907507200000005"/>
    <m/>
    <s v="-"/>
    <s v="-"/>
    <s v="-"/>
    <s v="-"/>
    <s v="-"/>
    <n v="94187.520000000004"/>
    <n v="5"/>
    <n v="0"/>
    <n v="0.94199999999999995"/>
    <n v="0.98499999999999999"/>
    <n v="87393.774182399997"/>
    <n v="0"/>
    <s v="-"/>
    <n v="3907"/>
    <n v="99090"/>
    <n v="54666"/>
    <n v="89678"/>
    <n v="1.0261371686824348"/>
    <m/>
    <m/>
    <s v="x"/>
    <m/>
    <m/>
    <m/>
    <m/>
    <s v="ㅇ"/>
    <s v="ㅇ"/>
  </r>
  <r>
    <n v="902"/>
    <x v="897"/>
    <n v="843"/>
    <x v="11"/>
    <n v="12"/>
    <x v="42"/>
    <x v="897"/>
    <s v="동작구 상도로13길 16"/>
    <s v="㈜코텍에너지"/>
    <n v="4"/>
    <n v="12"/>
    <n v="3"/>
    <n v="1.0442046641141662"/>
    <m/>
    <n v="0"/>
    <n v="0"/>
    <n v="1.6819200000000001"/>
    <m/>
    <m/>
    <m/>
    <m/>
    <m/>
    <m/>
    <n v="4672"/>
    <m/>
    <m/>
    <n v="1"/>
    <n v="0.98499999999999999"/>
    <n v="4601.92"/>
    <n v="0"/>
    <s v="-"/>
    <s v="-"/>
    <s v="-"/>
    <s v="(누적)9,238"/>
    <n v="4619"/>
    <n v="1.0037114943328003"/>
    <m/>
    <s v="2020.7월 제출한 누적값 9,238kW를 기재 착오로 판단, 4619kW로 보고 2020년 발전량으로 기재"/>
    <s v="x"/>
    <m/>
    <m/>
    <m/>
    <m/>
    <s v="ㅇ"/>
    <s v="ㅇ"/>
  </r>
  <r>
    <n v="904"/>
    <x v="898"/>
    <n v="734"/>
    <x v="11"/>
    <n v="12"/>
    <x v="42"/>
    <x v="898"/>
    <s v="동작구 배봉로43"/>
    <s v="㈜코텍에너지"/>
    <n v="11.88"/>
    <n v="30"/>
    <n v="2.5252525252525251"/>
    <n v="0.87896015497825442"/>
    <m/>
    <n v="0.9"/>
    <n v="25.252525252525253"/>
    <n v="4.0953024000000005"/>
    <s v="수리비용"/>
    <s v="-"/>
    <s v="-"/>
    <s v="-"/>
    <s v="-"/>
    <n v="0.9"/>
    <n v="13875.840000000002"/>
    <n v="10"/>
    <n v="-40"/>
    <n v="0.92700000000000005"/>
    <n v="0.98499999999999999"/>
    <n v="12669.960124800002"/>
    <n v="0"/>
    <s v="-"/>
    <s v="-"/>
    <s v="-"/>
    <n v="8608"/>
    <n v="9581"/>
    <n v="0.75619811788091462"/>
    <s v="기타(디자인고려 경사각 낮음)"/>
    <s v="건물 방위에 맞춰 설치 방위각 남서향으로 설치, 미관 고려 경사각 낮게 설치"/>
    <s v="ㅇ"/>
    <s v="모듈"/>
    <n v="0.88400000000000001"/>
    <n v="1"/>
    <m/>
    <s v="ㅇ"/>
    <s v="ㅇ"/>
  </r>
  <r>
    <n v="905"/>
    <x v="899"/>
    <n v="762"/>
    <x v="11"/>
    <n v="12"/>
    <x v="42"/>
    <x v="899"/>
    <s v="동작구 흑석동 336-1"/>
    <s v="다쓰테크"/>
    <n v="6.48"/>
    <n v="16"/>
    <n v="2.4691358024691357"/>
    <n v="0.85942770708984872"/>
    <m/>
    <n v="0"/>
    <n v="0"/>
    <n v="2.7247104000000006"/>
    <m/>
    <s v="-"/>
    <s v="-"/>
    <s v="-"/>
    <s v="-"/>
    <s v="-"/>
    <n v="7568.6400000000012"/>
    <m/>
    <m/>
    <n v="1"/>
    <n v="0.98499999999999999"/>
    <n v="7455.1104000000014"/>
    <n v="0"/>
    <s v="-"/>
    <s v="-"/>
    <s v="-"/>
    <n v="4352"/>
    <n v="6037"/>
    <n v="0.80978009393395423"/>
    <m/>
    <m/>
    <s v="x"/>
    <m/>
    <m/>
    <m/>
    <m/>
    <s v="ㅇ"/>
    <s v="ㅇ"/>
  </r>
  <r>
    <n v="906"/>
    <x v="900"/>
    <n v="831"/>
    <x v="11"/>
    <n v="7"/>
    <x v="18"/>
    <x v="900"/>
    <s v="관악구 봉천로21길 38"/>
    <s v="㈜코텍에너지"/>
    <n v="16"/>
    <n v="45"/>
    <n v="2.8125"/>
    <n v="0.97894187260703092"/>
    <m/>
    <n v="0"/>
    <n v="0"/>
    <n v="6.7276800000000003"/>
    <m/>
    <s v="-"/>
    <s v="-"/>
    <s v="-"/>
    <m/>
    <m/>
    <n v="18688"/>
    <n v="5"/>
    <n v="0"/>
    <n v="0.94199999999999995"/>
    <n v="0.98499999999999999"/>
    <n v="17340.03456"/>
    <n v="0"/>
    <s v="-"/>
    <n v="8728"/>
    <n v="17883"/>
    <n v="12753"/>
    <n v="16950"/>
    <n v="0.97750670227037884"/>
    <m/>
    <m/>
    <s v="x"/>
    <m/>
    <m/>
    <m/>
    <m/>
    <s v="ㅇ"/>
    <s v="ㅇ"/>
  </r>
  <r>
    <n v="907"/>
    <x v="901"/>
    <n v="816"/>
    <x v="11"/>
    <n v="7"/>
    <x v="18"/>
    <x v="901"/>
    <s v="관악구 신림동 1587-38"/>
    <s v="㈜코텍에너지"/>
    <n v="25.92"/>
    <n v="74"/>
    <n v="2.8549382716049383"/>
    <n v="0.99371328632263767"/>
    <m/>
    <n v="0"/>
    <n v="0"/>
    <n v="10.898841600000003"/>
    <m/>
    <s v="-"/>
    <s v="-"/>
    <s v="-"/>
    <m/>
    <m/>
    <n v="30274.560000000005"/>
    <n v="5"/>
    <n v="0"/>
    <n v="0.94199999999999995"/>
    <n v="0.98499999999999999"/>
    <n v="28090.855987200004"/>
    <n v="0"/>
    <s v="-"/>
    <n v="15396"/>
    <n v="27698"/>
    <n v="23330"/>
    <n v="26647"/>
    <n v="0.94860049875810415"/>
    <m/>
    <m/>
    <s v="x"/>
    <m/>
    <m/>
    <m/>
    <m/>
    <s v="ㅇ"/>
    <s v="ㅇ"/>
  </r>
  <r>
    <n v="908"/>
    <x v="902"/>
    <n v="807"/>
    <x v="11"/>
    <n v="7"/>
    <x v="18"/>
    <x v="902"/>
    <s v="관악구 양지길63"/>
    <s v="㈜한국스카다"/>
    <n v="20.16"/>
    <n v="54"/>
    <n v="2.6785714285714284"/>
    <n v="0.93232559295907702"/>
    <m/>
    <n v="0"/>
    <n v="0"/>
    <n v="8.4768768000000012"/>
    <m/>
    <s v="-"/>
    <s v="-"/>
    <s v="-"/>
    <m/>
    <m/>
    <n v="23546.880000000001"/>
    <n v="5"/>
    <n v="0"/>
    <n v="0.94199999999999995"/>
    <n v="0.98499999999999999"/>
    <n v="21848.443545599999"/>
    <n v="0"/>
    <s v="-"/>
    <n v="5920"/>
    <n v="20614"/>
    <n v="15345"/>
    <n v="20325"/>
    <n v="0.93027221630591617"/>
    <m/>
    <m/>
    <s v="x"/>
    <m/>
    <m/>
    <m/>
    <m/>
    <s v="ㅇ"/>
    <s v="ㅇ"/>
  </r>
  <r>
    <n v="909"/>
    <x v="903"/>
    <n v="790"/>
    <x v="11"/>
    <n v="12"/>
    <x v="18"/>
    <x v="903"/>
    <s v="관악구 신림동 산 72-4"/>
    <s v="㈜에이스쏠라"/>
    <n v="3"/>
    <n v="10.1"/>
    <n v="3.3666666666666667"/>
    <n v="1.1718296786170088"/>
    <s v="구조물"/>
    <n v="0"/>
    <n v="0"/>
    <n v="1.2614400000000003"/>
    <m/>
    <s v="-"/>
    <s v="-"/>
    <s v="-"/>
    <s v="-"/>
    <s v="-"/>
    <n v="3504.0000000000005"/>
    <m/>
    <m/>
    <n v="1"/>
    <n v="0.98499999999999999"/>
    <n v="3451.4400000000005"/>
    <n v="0"/>
    <s v="-"/>
    <s v="-"/>
    <n v="3359"/>
    <n v="2086"/>
    <n v="3164"/>
    <n v="0.91671881881185813"/>
    <m/>
    <m/>
    <s v="x"/>
    <m/>
    <m/>
    <m/>
    <m/>
    <s v="ㅇ"/>
    <s v="ㅇ"/>
  </r>
  <r>
    <n v="910"/>
    <x v="904"/>
    <n v="812"/>
    <x v="11"/>
    <n v="12"/>
    <x v="18"/>
    <x v="904"/>
    <s v="관악구 신림동 산 105-12"/>
    <s v="㈜에이스쏠라"/>
    <n v="3"/>
    <n v="7.6"/>
    <n v="2.5333333333333332"/>
    <n v="0.88177282747418484"/>
    <m/>
    <n v="0"/>
    <n v="0"/>
    <n v="1.2614400000000003"/>
    <m/>
    <s v="-"/>
    <s v="-"/>
    <s v="-"/>
    <s v="-"/>
    <s v="-"/>
    <n v="3504.0000000000005"/>
    <m/>
    <m/>
    <n v="1"/>
    <n v="0.98499999999999999"/>
    <n v="3451.4400000000005"/>
    <n v="0"/>
    <s v="-"/>
    <s v="-"/>
    <n v="3789"/>
    <n v="2054"/>
    <n v="3251"/>
    <n v="0.94192568898778462"/>
    <m/>
    <m/>
    <s v="x"/>
    <m/>
    <m/>
    <m/>
    <m/>
    <s v="ㅇ"/>
    <s v="ㅇ"/>
  </r>
  <r>
    <n v="911"/>
    <x v="905"/>
    <n v="797"/>
    <x v="11"/>
    <n v="12"/>
    <x v="18"/>
    <x v="905"/>
    <s v="관악구 봉천동 산 151-139"/>
    <s v="㈜에이스쏠라"/>
    <n v="3"/>
    <n v="7.6"/>
    <n v="2.5333333333333332"/>
    <n v="0.88177282747418484"/>
    <m/>
    <n v="0"/>
    <n v="0"/>
    <n v="1.2614400000000003"/>
    <m/>
    <s v="-"/>
    <s v="-"/>
    <s v="-"/>
    <s v="-"/>
    <s v="-"/>
    <n v="3504.0000000000005"/>
    <m/>
    <m/>
    <n v="1"/>
    <n v="0.98499999999999999"/>
    <n v="3451.4400000000005"/>
    <n v="0"/>
    <s v="-"/>
    <s v="-"/>
    <n v="3486"/>
    <n v="2354"/>
    <n v="3173"/>
    <n v="0.91932642607143666"/>
    <m/>
    <m/>
    <s v="x"/>
    <m/>
    <m/>
    <m/>
    <m/>
    <s v="ㅇ"/>
    <s v="ㅇ"/>
  </r>
  <r>
    <n v="913"/>
    <x v="906"/>
    <n v="756"/>
    <x v="11"/>
    <n v="3"/>
    <x v="43"/>
    <x v="906"/>
    <s v="서초구 양재동 37603"/>
    <s v="코텍에너지"/>
    <n v="6"/>
    <n v="23"/>
    <n v="3.8333333333333335"/>
    <n v="1.3342615152569903"/>
    <s v="구조물"/>
    <n v="0"/>
    <n v="0"/>
    <n v="2.5228800000000007"/>
    <m/>
    <s v="-"/>
    <s v="-"/>
    <s v="-"/>
    <s v="-"/>
    <s v="-"/>
    <n v="7008.0000000000009"/>
    <n v="45"/>
    <n v="-30"/>
    <n v="0.96199999999999997"/>
    <n v="0.98499999999999999"/>
    <n v="6640.5705600000001"/>
    <n v="0"/>
    <s v="-"/>
    <n v="6307"/>
    <n v="4502"/>
    <n v="3715"/>
    <n v="4736"/>
    <n v="0.71319172911551743"/>
    <s v="주변환경 변화에 따른 음영"/>
    <s v="주변 수목의 빛가림(햇빛 받는 부분 바로 앞에 나무 있음)"/>
    <s v="x"/>
    <m/>
    <m/>
    <m/>
    <m/>
    <s v="ㅇ"/>
    <s v="ㅇ"/>
  </r>
  <r>
    <n v="912"/>
    <x v="907"/>
    <n v="849"/>
    <x v="11"/>
    <n v="5"/>
    <x v="43"/>
    <x v="907"/>
    <s v="서초구 청계산로15길 77"/>
    <s v="㈜에너솔라"/>
    <n v="25.81"/>
    <n v="117"/>
    <n v="4.5331266950794271"/>
    <n v="1.577837346007458"/>
    <s v="구조물"/>
    <n v="0"/>
    <n v="0"/>
    <n v="10.852588799999999"/>
    <m/>
    <s v="-"/>
    <s v="-"/>
    <s v="-"/>
    <s v="-"/>
    <s v="-"/>
    <n v="30146.079999999998"/>
    <m/>
    <m/>
    <n v="1"/>
    <n v="0.98499999999999999"/>
    <n v="29693.888799999997"/>
    <n v="0"/>
    <s v="-"/>
    <n v="19508"/>
    <n v="28152"/>
    <n v="20224"/>
    <n v="30091"/>
    <n v="1.0133734992635928"/>
    <m/>
    <m/>
    <s v="x"/>
    <m/>
    <m/>
    <m/>
    <m/>
    <s v="ㅇ"/>
    <s v="ㅇ"/>
  </r>
  <r>
    <n v="914"/>
    <x v="908"/>
    <n v="795"/>
    <x v="11"/>
    <n v="10"/>
    <x v="43"/>
    <x v="908"/>
    <s v="서초구 신반포로23길 78"/>
    <s v="㈜동양전설"/>
    <n v="10.5"/>
    <n v="63"/>
    <n v="6"/>
    <n v="2.0884093282283325"/>
    <s v="구조물"/>
    <n v="0"/>
    <n v="0"/>
    <n v="4.4150400000000003"/>
    <m/>
    <s v="-"/>
    <s v="-"/>
    <s v="-"/>
    <s v="-"/>
    <s v="-"/>
    <n v="12264"/>
    <m/>
    <m/>
    <n v="1"/>
    <n v="0.98499999999999999"/>
    <n v="12080.039999999999"/>
    <n v="0"/>
    <s v="-"/>
    <n v="1055"/>
    <n v="11600"/>
    <n v="7754"/>
    <n v="11095"/>
    <n v="0.91845722365157734"/>
    <m/>
    <m/>
    <s v="x"/>
    <m/>
    <m/>
    <m/>
    <m/>
    <s v="ㅇ"/>
    <s v="ㅇ"/>
  </r>
  <r>
    <n v="915"/>
    <x v="909"/>
    <n v="740"/>
    <x v="11"/>
    <n v="1"/>
    <x v="44"/>
    <x v="909"/>
    <s v="강남구 율현동 141-16"/>
    <s v="이엔에이치㈜"/>
    <n v="80.64"/>
    <n v="370"/>
    <n v="4.5882936507936511"/>
    <n v="1.5970392101613822"/>
    <s v="구조물"/>
    <n v="1.44"/>
    <n v="5.9523809523809517"/>
    <n v="32.467507200000007"/>
    <s v="안전관리"/>
    <s v="-"/>
    <s v="-"/>
    <s v="-"/>
    <n v="0.72"/>
    <n v="0.72"/>
    <n v="94187.520000000004"/>
    <m/>
    <m/>
    <n v="1"/>
    <n v="0.98499999999999999"/>
    <n v="92774.707200000004"/>
    <n v="0"/>
    <s v="-"/>
    <s v="-"/>
    <n v="91362"/>
    <n v="45600"/>
    <n v="91362"/>
    <n v="0.984772711845325"/>
    <m/>
    <m/>
    <s v="x"/>
    <m/>
    <m/>
    <m/>
    <m/>
    <s v="ㅇ"/>
    <s v="ㅇ"/>
  </r>
  <r>
    <n v="917"/>
    <x v="910"/>
    <n v="874"/>
    <x v="11"/>
    <n v="2"/>
    <x v="45"/>
    <x v="910"/>
    <s v="송파구 충민로184"/>
    <s v="현대중공업그린에너지㈜"/>
    <n v="40"/>
    <n v="105"/>
    <n v="2.625"/>
    <n v="0.91367908109989548"/>
    <m/>
    <n v="0"/>
    <n v="0"/>
    <n v="16.819199999999999"/>
    <m/>
    <s v="-"/>
    <s v="-"/>
    <s v="-"/>
    <s v="-"/>
    <s v="-"/>
    <n v="46720"/>
    <n v="10"/>
    <n v="0"/>
    <n v="0.88400000000000001"/>
    <n v="0.98499999999999999"/>
    <n v="40680.972799999996"/>
    <n v="0"/>
    <s v="-"/>
    <s v="-"/>
    <n v="40532.86"/>
    <n v="28445"/>
    <n v="43943"/>
    <n v="1.0801855751099443"/>
    <m/>
    <m/>
    <s v="x"/>
    <m/>
    <m/>
    <m/>
    <m/>
    <s v="ㅇ"/>
    <s v="ㅇ"/>
  </r>
  <r>
    <n v="916"/>
    <x v="911"/>
    <n v="763"/>
    <x v="11"/>
    <n v="7"/>
    <x v="45"/>
    <x v="911"/>
    <s v="송파구 양재대로 925"/>
    <s v="현대중공업/에너솔라"/>
    <n v="12.24"/>
    <n v="44"/>
    <n v="3.5947712418300655"/>
    <n v="1.2512256323808093"/>
    <s v="구조물"/>
    <n v="0"/>
    <n v="0"/>
    <n v="5.1466752000000016"/>
    <m/>
    <s v="-"/>
    <s v="-"/>
    <s v="-"/>
    <s v="-"/>
    <s v="-"/>
    <n v="14296.320000000002"/>
    <n v="25"/>
    <n v="-15"/>
    <n v="0.97"/>
    <n v="0.98499999999999999"/>
    <n v="13659.418944000001"/>
    <n v="0"/>
    <s v="-"/>
    <n v="5480"/>
    <n v="15119"/>
    <n v="7594"/>
    <n v="11093"/>
    <n v="0.81211360786856024"/>
    <m/>
    <m/>
    <s v="x"/>
    <m/>
    <m/>
    <m/>
    <m/>
    <s v="ㅇ"/>
    <s v="ㅇ"/>
  </r>
  <r>
    <n v="919"/>
    <x v="912"/>
    <n v="805"/>
    <x v="11"/>
    <n v="9"/>
    <x v="45"/>
    <x v="912"/>
    <s v="송파구 장지동 695-2"/>
    <s v="(주)탑선/(주)에코스"/>
    <n v="136"/>
    <n v="381"/>
    <n v="2.8014705882352939"/>
    <n v="0.97510288487131702"/>
    <m/>
    <n v="0"/>
    <n v="0"/>
    <n v="57.185280000000013"/>
    <m/>
    <s v="-"/>
    <s v="-"/>
    <s v="-"/>
    <s v="-"/>
    <s v="-"/>
    <n v="158848.00000000003"/>
    <n v="15"/>
    <n v="0"/>
    <n v="0.96399999999999997"/>
    <n v="0.98499999999999999"/>
    <n v="150832.52992000003"/>
    <n v="0"/>
    <s v="-"/>
    <n v="33620"/>
    <n v="165388"/>
    <s v="311,000(누적)"/>
    <n v="139734"/>
    <n v="0.92641819423246052"/>
    <m/>
    <m/>
    <s v="x"/>
    <m/>
    <m/>
    <m/>
    <m/>
    <s v="ㅇ"/>
    <s v="ㅇ"/>
  </r>
  <r>
    <n v="918"/>
    <x v="913"/>
    <n v="751"/>
    <x v="11"/>
    <n v="12"/>
    <x v="45"/>
    <x v="913"/>
    <s v="송파구 성내천로33가길16"/>
    <s v="한화큐셀/헥스파워시스템"/>
    <n v="6"/>
    <n v="12"/>
    <n v="2"/>
    <n v="0.69613644274277753"/>
    <m/>
    <n v="0.06"/>
    <n v="3.3333333333333335"/>
    <n v="2.4628800000000006"/>
    <m/>
    <s v="-"/>
    <s v="-"/>
    <s v="-"/>
    <s v="-"/>
    <n v="0.06"/>
    <n v="7008.0000000000009"/>
    <n v="15"/>
    <n v="40"/>
    <n v="0.94399999999999995"/>
    <n v="0.98499999999999999"/>
    <n v="6516.3187200000002"/>
    <n v="0"/>
    <n v="0"/>
    <s v="-"/>
    <s v="-"/>
    <n v="3927"/>
    <n v="6310"/>
    <n v="0.96833814783080463"/>
    <m/>
    <m/>
    <s v="x"/>
    <m/>
    <m/>
    <m/>
    <m/>
    <s v="ㅇ"/>
    <s v="ㅇ"/>
  </r>
  <r>
    <n v="920"/>
    <x v="914"/>
    <n v="837"/>
    <x v="11"/>
    <n v="3"/>
    <x v="46"/>
    <x v="914"/>
    <s v="강동구 구천면로 633"/>
    <s v="온세이엔씨"/>
    <n v="12.375"/>
    <n v="0"/>
    <n v="0"/>
    <n v="0"/>
    <m/>
    <n v="0"/>
    <n v="0"/>
    <n v="5.2034399999999996"/>
    <m/>
    <s v="-"/>
    <s v="-"/>
    <s v="-"/>
    <s v="-"/>
    <s v="-"/>
    <n v="14454"/>
    <m/>
    <m/>
    <n v="1"/>
    <n v="0.98499999999999999"/>
    <n v="14237.19"/>
    <n v="0"/>
    <s v="-"/>
    <n v="14454"/>
    <n v="14454"/>
    <n v="8259"/>
    <n v="14016"/>
    <n v="0.98446392862636511"/>
    <m/>
    <m/>
    <s v="x"/>
    <m/>
    <m/>
    <m/>
    <m/>
    <s v="ㅇ"/>
    <s v="ㅇ"/>
  </r>
  <r>
    <n v="921"/>
    <x v="915"/>
    <n v="904"/>
    <x v="11"/>
    <n v="6"/>
    <x v="46"/>
    <x v="915"/>
    <s v="송파구 방이동 8-13"/>
    <s v="에이컴에너지㈜"/>
    <n v="25.74"/>
    <n v="72"/>
    <n v="2.7972027972027975"/>
    <n v="0.97361740243745121"/>
    <m/>
    <n v="0"/>
    <n v="0"/>
    <n v="10.823155199999999"/>
    <m/>
    <s v="-"/>
    <s v="-"/>
    <s v="-"/>
    <s v="-"/>
    <s v="-"/>
    <n v="30064.32"/>
    <n v="20"/>
    <n v="0"/>
    <n v="0.98099999999999998"/>
    <n v="0.98499999999999999"/>
    <n v="29050.701451199999"/>
    <n v="0"/>
    <s v="-"/>
    <s v="-"/>
    <n v="30064"/>
    <n v="19792"/>
    <n v="34131"/>
    <n v="1.1748769666486021"/>
    <m/>
    <m/>
    <s v="x"/>
    <m/>
    <m/>
    <m/>
    <m/>
    <s v="ㅇ"/>
    <s v="ㅇ"/>
  </r>
  <r>
    <n v="922"/>
    <x v="916"/>
    <n v="1063"/>
    <x v="12"/>
    <n v="3"/>
    <x v="95"/>
    <x v="916"/>
    <s v="종로구 청계천로 105 (관수동)"/>
    <s v="대림산업㈜"/>
    <n v="9.18"/>
    <n v="28"/>
    <n v="3.0501089324618738"/>
    <n v="1.1466574934067193"/>
    <s v="구조물"/>
    <n v="0"/>
    <n v="0"/>
    <n v="2.5733375999999999"/>
    <m/>
    <s v="-"/>
    <s v="-"/>
    <s v="-"/>
    <s v="-"/>
    <s v="-"/>
    <n v="10722.24"/>
    <m/>
    <m/>
    <n v="1"/>
    <n v="0.99"/>
    <n v="10615.017599999999"/>
    <n v="0"/>
    <s v="-"/>
    <s v="-"/>
    <s v="-"/>
    <s v="(누적)15,300"/>
    <n v="18234"/>
    <n v="1.7177550416873544"/>
    <m/>
    <m/>
    <s v="x"/>
    <m/>
    <m/>
    <m/>
    <m/>
    <s v="ㅇ"/>
    <s v="ㅇ"/>
  </r>
  <r>
    <n v="924"/>
    <x v="917"/>
    <n v="1045"/>
    <x v="12"/>
    <n v="10"/>
    <x v="83"/>
    <x v="917"/>
    <s v="서울시 동대문구 회기로 117-3 (서울바이오허브)"/>
    <s v="관급(인버터)"/>
    <n v="21"/>
    <n v="49"/>
    <n v="2.3333333333333335"/>
    <n v="0.87719298245614041"/>
    <m/>
    <n v="0"/>
    <n v="0"/>
    <n v="5.8867200000000004"/>
    <m/>
    <s v="-"/>
    <s v="-"/>
    <s v="-"/>
    <s v="-"/>
    <s v="-"/>
    <n v="24528"/>
    <m/>
    <m/>
    <n v="1"/>
    <n v="0.99"/>
    <n v="24282.720000000001"/>
    <n v="0"/>
    <s v="-"/>
    <s v="-"/>
    <n v="4232"/>
    <n v="22000"/>
    <n v="28275"/>
    <n v="1.1644082705726542"/>
    <m/>
    <m/>
    <s v="x"/>
    <m/>
    <m/>
    <m/>
    <m/>
    <s v="ㅇ"/>
    <s v="ㅇ"/>
  </r>
  <r>
    <n v="925"/>
    <x v="918"/>
    <n v="1038"/>
    <x v="12"/>
    <n v="11"/>
    <x v="83"/>
    <x v="918"/>
    <s v="서울시 동대문구 회기로 117-3 (서울바이오허브)"/>
    <s v="관급(인버터)"/>
    <n v="20.25"/>
    <n v="63"/>
    <n v="3.1111111111111112"/>
    <n v="1.1695906432748537"/>
    <m/>
    <n v="0"/>
    <n v="0"/>
    <n v="5.6764799999999997"/>
    <m/>
    <s v="-"/>
    <s v="-"/>
    <s v="-"/>
    <s v="-"/>
    <s v="-"/>
    <n v="23652"/>
    <m/>
    <m/>
    <n v="1"/>
    <n v="0.99"/>
    <n v="23415.48"/>
    <n v="0"/>
    <s v="-"/>
    <s v="-"/>
    <n v="2404"/>
    <n v="17113"/>
    <n v="26854"/>
    <n v="1.1468481534437902"/>
    <m/>
    <m/>
    <s v="x"/>
    <m/>
    <m/>
    <m/>
    <m/>
    <s v="ㅇ"/>
    <s v="ㅇ"/>
  </r>
  <r>
    <n v="923"/>
    <x v="919"/>
    <n v="932"/>
    <x v="12"/>
    <n v="7"/>
    <x v="83"/>
    <x v="919"/>
    <s v="서울시 강서구 공항대로61길 29"/>
    <s v="㈜보타리에너지"/>
    <n v="60"/>
    <n v="134"/>
    <n v="2.2333333333333334"/>
    <n v="0.83959899749373434"/>
    <m/>
    <n v="0"/>
    <n v="0"/>
    <n v="16.819199999999999"/>
    <m/>
    <s v="-"/>
    <s v="-"/>
    <s v="-"/>
    <s v="-"/>
    <s v="-"/>
    <n v="70080"/>
    <m/>
    <m/>
    <n v="1"/>
    <n v="0.99"/>
    <n v="69379.199999999997"/>
    <n v="0"/>
    <s v="-"/>
    <s v="-"/>
    <n v="9022"/>
    <n v="20500"/>
    <n v="12399.999999999998"/>
    <n v="0.17872791845394584"/>
    <s v="코로나19 휴관"/>
    <s v="수용가 사무실 공실로 인한 발전전기 사용 불가"/>
    <s v="x"/>
    <m/>
    <m/>
    <m/>
    <m/>
    <s v="ㅇ"/>
    <s v="ㅇ"/>
  </r>
  <r>
    <n v="926"/>
    <x v="920"/>
    <n v="1012"/>
    <x v="12"/>
    <n v="8"/>
    <x v="8"/>
    <x v="920"/>
    <s v="서울시 중랑구 양원역로 38"/>
    <s v="㈜에코스"/>
    <n v="36.630000000000003"/>
    <n v="103"/>
    <n v="2.8119028119028115"/>
    <n v="1.0571063202642148"/>
    <m/>
    <n v="0"/>
    <n v="0"/>
    <n v="10.268121600000001"/>
    <m/>
    <s v="-"/>
    <s v="-"/>
    <s v="-"/>
    <s v="-"/>
    <s v="-"/>
    <n v="42783.840000000004"/>
    <m/>
    <m/>
    <n v="1"/>
    <n v="0.99"/>
    <n v="42356.001600000003"/>
    <n v="0"/>
    <s v="-"/>
    <s v="-"/>
    <s v="(누적)668525"/>
    <s v="(누적)817442"/>
    <n v="44434"/>
    <n v="1.0490603060133985"/>
    <m/>
    <m/>
    <s v="x"/>
    <m/>
    <m/>
    <m/>
    <m/>
    <s v="ㅇ"/>
    <s v="ㅇ"/>
  </r>
  <r>
    <n v="927"/>
    <x v="921"/>
    <n v="991"/>
    <x v="12"/>
    <n v="11"/>
    <x v="9"/>
    <x v="921"/>
    <s v="서울시 구로구 새말로16길 7(구로동)"/>
    <s v="㈜에이피이씨"/>
    <n v="16.184999999999999"/>
    <n v="46"/>
    <n v="2.8421377818968181"/>
    <n v="1.0684728503371497"/>
    <m/>
    <n v="0"/>
    <n v="0"/>
    <n v="4.5369792000000002"/>
    <m/>
    <s v="-"/>
    <s v="-"/>
    <s v="-"/>
    <s v="-"/>
    <s v="-"/>
    <n v="18904.080000000002"/>
    <n v="20"/>
    <n v="-34"/>
    <n v="0.96"/>
    <n v="0.99"/>
    <n v="17966.437632000001"/>
    <n v="0"/>
    <s v="-"/>
    <s v="-"/>
    <n v="966"/>
    <n v="8383"/>
    <n v="17460"/>
    <n v="0.97181201736408862"/>
    <m/>
    <m/>
    <s v="x"/>
    <m/>
    <m/>
    <m/>
    <m/>
    <s v="ㅇ"/>
    <s v="ㅇ"/>
  </r>
  <r>
    <n v="928"/>
    <x v="922"/>
    <n v="1044"/>
    <x v="12"/>
    <n v="10"/>
    <x v="69"/>
    <x v="922"/>
    <s v="서울시 노원구 상계동 덕릉로70가길 92"/>
    <s v="(주)에코스"/>
    <n v="13.494"/>
    <n v="45"/>
    <n v="3.3348154735437974"/>
    <n v="1.253690027648044"/>
    <s v="구조물"/>
    <n v="0"/>
    <n v="0"/>
    <n v="3.7826380800000003"/>
    <m/>
    <s v="-"/>
    <s v="-"/>
    <s v="-"/>
    <s v="-"/>
    <s v="-"/>
    <n v="15760.992000000002"/>
    <n v="10"/>
    <n v="30"/>
    <n v="0.93400000000000005"/>
    <n v="0.99"/>
    <n v="14573.558862720003"/>
    <n v="0"/>
    <s v="-"/>
    <s v="-"/>
    <n v="3152"/>
    <n v="11290"/>
    <n v="16891"/>
    <n v="1.1590168303507624"/>
    <m/>
    <m/>
    <s v="x"/>
    <m/>
    <m/>
    <m/>
    <m/>
    <s v="ㅇ"/>
    <s v="ㅇ"/>
  </r>
  <r>
    <n v="930"/>
    <x v="923"/>
    <n v="1015"/>
    <x v="12"/>
    <n v="7"/>
    <x v="34"/>
    <x v="923"/>
    <s v="서울 용산구 독서당로 18 (한남동,한남유수지공영주차장)"/>
    <s v="㈜동이에코스한국"/>
    <n v="29.6"/>
    <n v="174"/>
    <n v="5.8783783783783781"/>
    <n v="2.2099166836008939"/>
    <s v="구조물"/>
    <n v="0"/>
    <n v="0"/>
    <n v="8.2974720000000008"/>
    <m/>
    <s v="-"/>
    <s v="-"/>
    <s v="-"/>
    <s v="-"/>
    <s v="-"/>
    <n v="34572.800000000003"/>
    <m/>
    <m/>
    <n v="1"/>
    <n v="0.99"/>
    <n v="34227.072"/>
    <n v="0"/>
    <s v="-"/>
    <s v="-"/>
    <n v="9847"/>
    <n v="23477"/>
    <n v="36394"/>
    <n v="1.0633103526939143"/>
    <m/>
    <m/>
    <s v="x"/>
    <m/>
    <m/>
    <m/>
    <m/>
    <s v="ㅇ"/>
    <s v="ㅇ"/>
  </r>
  <r>
    <n v="929"/>
    <x v="924"/>
    <n v="949"/>
    <x v="12"/>
    <n v="8"/>
    <x v="88"/>
    <x v="924"/>
    <s v="서울시 송파구 석촌동 323 번지"/>
    <s v="㈜삼광산전"/>
    <n v="6"/>
    <n v="67"/>
    <n v="11.166666666666666"/>
    <n v="4.1979949874686708"/>
    <s v="구조물"/>
    <n v="0"/>
    <n v="0"/>
    <n v="1.6819200000000003"/>
    <m/>
    <s v="-"/>
    <s v="-"/>
    <s v="-"/>
    <s v="-"/>
    <s v="-"/>
    <n v="7008.0000000000009"/>
    <n v="5"/>
    <n v="-50"/>
    <n v="0.92"/>
    <n v="0.99"/>
    <n v="6382.8864000000012"/>
    <n v="0"/>
    <s v="-"/>
    <s v="-"/>
    <n v="2240"/>
    <n v="3758"/>
    <n v="5448.01"/>
    <n v="0.85353391218117236"/>
    <m/>
    <s v="기후에 따른 발전효율 변동"/>
    <s v="x"/>
    <m/>
    <m/>
    <m/>
    <m/>
    <s v="ㅇ"/>
    <s v="ㅇ"/>
  </r>
  <r>
    <n v="933"/>
    <x v="925"/>
    <n v="942"/>
    <x v="12"/>
    <n v="3"/>
    <x v="71"/>
    <x v="925"/>
    <s v="서울시 마포구 하늘공원로 108-1"/>
    <s v="㈜한축테크/㈜아트웨어/㈜피앤이이노텍"/>
    <n v="13.35"/>
    <n v="216.6"/>
    <n v="16.224719101123597"/>
    <n v="6.0995184590690208"/>
    <s v="구조물"/>
    <n v="0"/>
    <n v="0"/>
    <n v="3.7422719999999998"/>
    <m/>
    <s v="-"/>
    <s v="-"/>
    <s v="-"/>
    <s v="-"/>
    <s v="-"/>
    <n v="15592.8"/>
    <m/>
    <m/>
    <n v="0.88400000000000001"/>
    <n v="0.99"/>
    <n v="13646.194848000001"/>
    <n v="0"/>
    <s v="-"/>
    <s v="-"/>
    <s v="-"/>
    <n v="8282"/>
    <n v="11355"/>
    <n v="0.83210009284487096"/>
    <m/>
    <s v="2020년3월부터 가동"/>
    <s v="x"/>
    <m/>
    <m/>
    <m/>
    <m/>
    <s v="ㅇ"/>
    <s v="ㅇ"/>
  </r>
  <r>
    <n v="932"/>
    <x v="926"/>
    <n v="940"/>
    <x v="12"/>
    <n v="4"/>
    <x v="71"/>
    <x v="926"/>
    <s v="서울시 광진구 강변북로 139 (자양동)"/>
    <s v="㈜한축테크/㈜아트웨어/㈜피앤이이노텍"/>
    <n v="3.3"/>
    <n v="53.5"/>
    <n v="16.212121212121215"/>
    <n v="6.0947824105718853"/>
    <s v="구조물"/>
    <n v="0"/>
    <n v="0"/>
    <n v="0.92505599999999999"/>
    <m/>
    <s v="-"/>
    <s v="-"/>
    <s v="-"/>
    <s v="-"/>
    <s v="-"/>
    <n v="3854.4"/>
    <n v="0"/>
    <n v="0"/>
    <n v="0.88400000000000001"/>
    <n v="0.99"/>
    <n v="3373.2167040000004"/>
    <n v="0"/>
    <s v="-"/>
    <s v="-"/>
    <s v="-"/>
    <n v="1205"/>
    <n v="2712"/>
    <n v="0.80398036591722022"/>
    <m/>
    <s v="2020년4월부터 가동 및 장마기간 한강 수위상승으로 발전량 저하"/>
    <s v="x"/>
    <m/>
    <m/>
    <m/>
    <m/>
    <s v="ㅇ"/>
    <s v="ㅇ"/>
  </r>
  <r>
    <n v="934"/>
    <x v="927"/>
    <n v="935"/>
    <x v="12"/>
    <n v="1"/>
    <x v="23"/>
    <x v="927"/>
    <s v="강서구 우장산로 117"/>
    <s v="현대SWD산업"/>
    <n v="12"/>
    <n v="27"/>
    <n v="2.25"/>
    <n v="0.84586466165413532"/>
    <m/>
    <n v="0"/>
    <n v="0"/>
    <n v="3.3638400000000006"/>
    <m/>
    <s v="-"/>
    <s v="-"/>
    <s v="-"/>
    <s v="-"/>
    <s v="-"/>
    <n v="14016.000000000002"/>
    <m/>
    <m/>
    <n v="1"/>
    <n v="0.99"/>
    <n v="13875.840000000002"/>
    <n v="0"/>
    <s v="-"/>
    <s v="-"/>
    <n v="10445"/>
    <n v="6463"/>
    <n v="10114"/>
    <n v="0.72889280937226131"/>
    <s v="주변환경 변화에 따른 음영"/>
    <s v="지역편차 및 시설 설치 장소가 단층건물 옥상인 관계로 발전효율이 다소 떨어진 것으로 사료되며, '20년 10월경 태양광 시설 외부 용역 업체를 통한 시설점검시 고장이나, 이상은 없었던 것으로 확인. "/>
    <s v="x"/>
    <m/>
    <m/>
    <m/>
    <m/>
    <s v="ㅇ"/>
    <s v="ㅇ"/>
  </r>
  <r>
    <n v="935"/>
    <x v="928"/>
    <n v="1008"/>
    <x v="12"/>
    <n v="4"/>
    <x v="23"/>
    <x v="928"/>
    <s v="노원구 노원로16길 16"/>
    <s v="㈜선광전설"/>
    <n v="12.24"/>
    <n v="27"/>
    <n v="2.2058823529411766"/>
    <n v="0.82927908005307382"/>
    <m/>
    <n v="0"/>
    <n v="0"/>
    <n v="3.4311168000000003"/>
    <m/>
    <s v="-"/>
    <s v="-"/>
    <s v="-"/>
    <s v="-"/>
    <s v="-"/>
    <n v="14296.320000000002"/>
    <m/>
    <m/>
    <n v="1"/>
    <n v="0.99"/>
    <n v="14153.356800000001"/>
    <n v="0"/>
    <s v="-"/>
    <s v="-"/>
    <n v="13019"/>
    <n v="9383"/>
    <n v="14585"/>
    <n v="1.0304975848556293"/>
    <m/>
    <m/>
    <s v="x"/>
    <m/>
    <m/>
    <m/>
    <m/>
    <s v="ㅇ"/>
    <s v="ㅇ"/>
  </r>
  <r>
    <n v="936"/>
    <x v="929"/>
    <n v="1043"/>
    <x v="12"/>
    <n v="7"/>
    <x v="23"/>
    <x v="929"/>
    <s v="서울시 영등포구 영등포동7가 영신로 200"/>
    <s v="㈜디케이"/>
    <n v="30"/>
    <n v="81"/>
    <n v="2.7"/>
    <n v="1.0150375939849625"/>
    <m/>
    <n v="0"/>
    <n v="0"/>
    <n v="8.4095999999999993"/>
    <m/>
    <s v="-"/>
    <s v="-"/>
    <s v="-"/>
    <s v="-"/>
    <s v="-"/>
    <n v="35040"/>
    <m/>
    <m/>
    <n v="1"/>
    <n v="0.99"/>
    <n v="34689.599999999999"/>
    <n v="0"/>
    <s v="-"/>
    <s v="-"/>
    <n v="18706"/>
    <n v="25862"/>
    <n v="40086"/>
    <n v="1.1555624740556247"/>
    <m/>
    <m/>
    <s v="x"/>
    <m/>
    <m/>
    <m/>
    <m/>
    <s v="ㅇ"/>
    <s v="ㅇ"/>
  </r>
  <r>
    <n v="937"/>
    <x v="930"/>
    <n v="936"/>
    <x v="12"/>
    <n v="1"/>
    <x v="78"/>
    <x v="930"/>
    <s v="양천구 신월동 79018"/>
    <s v="㈜에스디"/>
    <n v="3"/>
    <n v="8.9700000000000006"/>
    <n v="2.99"/>
    <n v="1.1240601503759398"/>
    <s v="구조물"/>
    <n v="0"/>
    <n v="0"/>
    <n v="0.84096000000000015"/>
    <m/>
    <s v="-"/>
    <s v="-"/>
    <s v="-"/>
    <s v="-"/>
    <s v="-"/>
    <n v="3504.0000000000005"/>
    <n v="30"/>
    <n v="40"/>
    <n v="0.96499999999999997"/>
    <n v="0.99"/>
    <n v="3347.5464000000002"/>
    <n v="0"/>
    <s v="-"/>
    <s v="-"/>
    <n v="2133"/>
    <n v="1770"/>
    <n v="2563"/>
    <n v="0.76563539193960084"/>
    <s v="원인미상"/>
    <s v="긴 장마로 인해 여름철 발전량 감소"/>
    <s v="x"/>
    <m/>
    <m/>
    <m/>
    <m/>
    <s v="ㅇ"/>
    <s v="ㅇ"/>
  </r>
  <r>
    <n v="995"/>
    <x v="931"/>
    <n v="937"/>
    <x v="12"/>
    <n v="3"/>
    <x v="78"/>
    <x v="931"/>
    <s v="중구 신당동 432-173"/>
    <s v="에이컴에너지㈜"/>
    <n v="3"/>
    <n v="11"/>
    <n v="3.6666666666666665"/>
    <n v="1.3784461152882204"/>
    <s v="구조물"/>
    <n v="0"/>
    <n v="0"/>
    <n v="0.84096000000000015"/>
    <m/>
    <s v="-"/>
    <s v="-"/>
    <s v="-"/>
    <s v="-"/>
    <s v="-"/>
    <n v="3504.0000000000005"/>
    <n v="20"/>
    <n v="-40"/>
    <n v="0.95499999999999996"/>
    <n v="0.99"/>
    <n v="3312.8568"/>
    <n v="0"/>
    <s v="-"/>
    <s v="-"/>
    <s v="-"/>
    <n v="1840"/>
    <n v="2576"/>
    <n v="0.77757662208641198"/>
    <s v="원인미상"/>
    <s v="긴 장마로 인해 여름철 발전량 감소"/>
    <s v="x"/>
    <m/>
    <m/>
    <m/>
    <m/>
    <s v="ㅇ"/>
    <s v="ㅇ"/>
  </r>
  <r>
    <n v="1044"/>
    <x v="932"/>
    <n v="999"/>
    <x v="12"/>
    <n v="8"/>
    <x v="96"/>
    <x v="932"/>
    <s v="양천구 안양천로 909"/>
    <s v="관급시공"/>
    <n v="30.2"/>
    <n v="80"/>
    <n v="2.6490066225165565"/>
    <n v="0.99586715132201364"/>
    <m/>
    <n v="0"/>
    <n v="0"/>
    <n v="8.4656640000000003"/>
    <m/>
    <s v="-"/>
    <s v="-"/>
    <s v="-"/>
    <s v="-"/>
    <s v="-"/>
    <n v="35273.599999999999"/>
    <m/>
    <m/>
    <n v="1"/>
    <n v="0.99"/>
    <n v="34920.864000000001"/>
    <n v="0"/>
    <s v="-"/>
    <s v="-"/>
    <s v="-"/>
    <n v="13895"/>
    <n v="35181.721611721608"/>
    <n v="1.0074699644236067"/>
    <m/>
    <m/>
    <s v="x"/>
    <m/>
    <m/>
    <m/>
    <m/>
    <s v="ㅇ"/>
    <s v="ㅇ"/>
  </r>
  <r>
    <n v="939"/>
    <x v="933"/>
    <n v="1002"/>
    <x v="12"/>
    <n v="6"/>
    <x v="49"/>
    <x v="933"/>
    <s v="서울시 성동구 난계로 19"/>
    <s v="㈜다쓰테크"/>
    <n v="9.5"/>
    <n v="25"/>
    <n v="2.6315789473684212"/>
    <n v="0.98931539374752675"/>
    <m/>
    <n v="0"/>
    <n v="0"/>
    <n v="2.6630400000000001"/>
    <m/>
    <s v="-"/>
    <s v="-"/>
    <s v="-"/>
    <s v="-"/>
    <s v="-"/>
    <n v="11096"/>
    <n v="20"/>
    <n v="90"/>
    <n v="0.86799999999999999"/>
    <n v="0.99"/>
    <n v="9535.0147199999992"/>
    <n v="0"/>
    <s v="-"/>
    <s v="-"/>
    <n v="6783"/>
    <n v="5337"/>
    <n v="9672"/>
    <n v="1.014366551497049"/>
    <m/>
    <m/>
    <s v="x"/>
    <m/>
    <m/>
    <m/>
    <m/>
    <s v="ㅇ"/>
    <s v="ㅇ"/>
  </r>
  <r>
    <n v="941"/>
    <x v="934"/>
    <n v="1029"/>
    <x v="12"/>
    <n v="8"/>
    <x v="49"/>
    <x v="934"/>
    <s v="마포구 월드컵로 42길 34"/>
    <s v="㈜코덱에너지"/>
    <n v="9"/>
    <n v="23"/>
    <n v="2.5555555555555554"/>
    <n v="0.96073517126148689"/>
    <m/>
    <n v="0"/>
    <n v="0"/>
    <n v="2.5228799999999998"/>
    <m/>
    <s v="-"/>
    <s v="-"/>
    <s v="-"/>
    <s v="-"/>
    <s v="-"/>
    <n v="10512"/>
    <n v="25"/>
    <n v="20"/>
    <n v="0.98499999999999999"/>
    <n v="0.99"/>
    <n v="10250.7768"/>
    <n v="0"/>
    <s v="-"/>
    <s v="-"/>
    <n v="3914"/>
    <n v="7574"/>
    <n v="11417"/>
    <n v="1.1137692511264123"/>
    <m/>
    <m/>
    <s v="x"/>
    <m/>
    <m/>
    <m/>
    <m/>
    <s v="ㅇ"/>
    <s v="ㅇ"/>
  </r>
  <r>
    <n v="940"/>
    <x v="935"/>
    <n v="977"/>
    <x v="12"/>
    <n v="10"/>
    <x v="49"/>
    <x v="935"/>
    <s v="서울시 구로구 경인로59길 57"/>
    <s v="다쓰테크"/>
    <n v="6"/>
    <n v="15"/>
    <n v="2.5"/>
    <n v="0.93984962406015038"/>
    <m/>
    <n v="0"/>
    <n v="0"/>
    <n v="1.6819200000000003"/>
    <m/>
    <s v="-"/>
    <s v="-"/>
    <s v="-"/>
    <s v="-"/>
    <s v="-"/>
    <n v="7008.0000000000009"/>
    <n v="0"/>
    <n v="-86"/>
    <n v="0.88400000000000001"/>
    <n v="0.99"/>
    <n v="6133.1212800000012"/>
    <n v="0"/>
    <s v="-"/>
    <s v="-"/>
    <n v="581"/>
    <n v="2880"/>
    <n v="5764"/>
    <n v="0.93981510178125793"/>
    <m/>
    <m/>
    <s v="x"/>
    <m/>
    <m/>
    <m/>
    <m/>
    <s v="ㅇ"/>
    <s v="ㅇ"/>
  </r>
  <r>
    <n v="948"/>
    <x v="936"/>
    <n v="1052"/>
    <x v="12"/>
    <n v="12"/>
    <x v="49"/>
    <x v="936"/>
    <s v="노원구 화랑로 482 공릉119안전센터"/>
    <s v="㈜코덱에너지"/>
    <n v="6"/>
    <n v="15"/>
    <n v="2.5"/>
    <n v="0.93984962406015038"/>
    <m/>
    <n v="0"/>
    <n v="0"/>
    <n v="1.6819200000000003"/>
    <m/>
    <s v="-"/>
    <s v="-"/>
    <s v="-"/>
    <s v="-"/>
    <s v="-"/>
    <n v="7008.0000000000009"/>
    <n v="10"/>
    <n v="-10"/>
    <n v="0.94099999999999995"/>
    <n v="0.99"/>
    <n v="6528.5827200000003"/>
    <n v="0"/>
    <s v="-"/>
    <s v="-"/>
    <s v="-"/>
    <n v="5244"/>
    <n v="7859"/>
    <n v="1.2037834759946182"/>
    <m/>
    <m/>
    <s v="x"/>
    <m/>
    <m/>
    <m/>
    <m/>
    <s v="ㅇ"/>
    <s v="ㅇ"/>
  </r>
  <r>
    <n v="942"/>
    <x v="937"/>
    <n v="1040"/>
    <x v="12"/>
    <n v="12"/>
    <x v="49"/>
    <x v="937"/>
    <s v="서울시 강서구 강서로 329"/>
    <s v="㈜코텍에너지"/>
    <n v="6"/>
    <n v="15"/>
    <n v="2.5"/>
    <n v="0.93984962406015038"/>
    <m/>
    <n v="0"/>
    <n v="0"/>
    <n v="1.6819200000000003"/>
    <m/>
    <s v="-"/>
    <s v="-"/>
    <s v="-"/>
    <s v="-"/>
    <s v="-"/>
    <n v="7008.0000000000009"/>
    <n v="10"/>
    <n v="20"/>
    <n v="0.93899999999999995"/>
    <n v="0.99"/>
    <n v="6514.7068800000006"/>
    <n v="0"/>
    <s v="-"/>
    <s v="-"/>
    <s v="-"/>
    <n v="4476"/>
    <n v="7496"/>
    <n v="1.1506273632989608"/>
    <m/>
    <m/>
    <s v="x"/>
    <m/>
    <m/>
    <m/>
    <m/>
    <s v="ㅇ"/>
    <s v="ㅇ"/>
  </r>
  <r>
    <n v="938"/>
    <x v="938"/>
    <n v="972"/>
    <x v="12"/>
    <n v="12"/>
    <x v="49"/>
    <x v="938"/>
    <s v="서울시 서초구 서초동 1342-2"/>
    <s v="㈜현대에코쏠라"/>
    <n v="9"/>
    <n v="23"/>
    <n v="2.5555555555555554"/>
    <n v="0.96073517126148689"/>
    <m/>
    <n v="0"/>
    <n v="0"/>
    <n v="2.5228799999999998"/>
    <m/>
    <s v="-"/>
    <s v="-"/>
    <s v="-"/>
    <s v="-"/>
    <s v="-"/>
    <n v="10512"/>
    <n v="15"/>
    <n v="-40"/>
    <n v="0.94299999999999995"/>
    <n v="0.99"/>
    <n v="9813.6878399999987"/>
    <n v="0"/>
    <s v="-"/>
    <s v="-"/>
    <n v="1233"/>
    <n v="5846"/>
    <n v="9130.83"/>
    <n v="0.93041781528685763"/>
    <m/>
    <m/>
    <s v="x"/>
    <m/>
    <m/>
    <m/>
    <m/>
    <s v="ㅇ"/>
    <s v="ㅇ"/>
  </r>
  <r>
    <n v="943"/>
    <x v="939"/>
    <n v="934"/>
    <x v="12"/>
    <n v="12"/>
    <x v="49"/>
    <x v="939"/>
    <s v="은평구 통일로 1031-21"/>
    <s v="지투파워㈜"/>
    <n v="62"/>
    <n v="149"/>
    <n v="2.403225806451613"/>
    <n v="0.90346834829008005"/>
    <s v="구조물"/>
    <n v="0"/>
    <n v="0"/>
    <n v="17.379840000000002"/>
    <m/>
    <s v="-"/>
    <s v="-"/>
    <s v="-"/>
    <s v="-"/>
    <s v="-"/>
    <n v="72416"/>
    <n v="5"/>
    <n v="0"/>
    <n v="0.94199999999999995"/>
    <n v="0.99"/>
    <n v="67533.713279999996"/>
    <n v="0"/>
    <s v="-"/>
    <s v="-"/>
    <s v="-"/>
    <n v="37895"/>
    <n v="47223"/>
    <n v="0.6992507550149033"/>
    <s v="코로나19 휴관"/>
    <s v="역전력 발생으로 발전량 조절 : 코로나19로 인해 전문교육 및 기본교육 등이 취소됨에 따라 전력 소비가 줄어 인버터 자동 종료 및 발전 정지"/>
    <s v="x"/>
    <m/>
    <m/>
    <m/>
    <m/>
    <s v="ㅇ"/>
    <s v="ㅇ"/>
  </r>
  <r>
    <n v="947"/>
    <x v="940"/>
    <n v="981"/>
    <x v="12"/>
    <n v="12"/>
    <x v="49"/>
    <x v="940"/>
    <s v="노원구 동일로 1694(수락119안전센터)"/>
    <s v="㈜코덱에너지"/>
    <n v="3"/>
    <n v="8"/>
    <n v="2.6666666666666665"/>
    <n v="1.0025062656641603"/>
    <m/>
    <n v="0"/>
    <n v="0"/>
    <n v="0.84096000000000015"/>
    <m/>
    <s v="-"/>
    <s v="-"/>
    <s v="-"/>
    <s v="-"/>
    <s v="-"/>
    <n v="3504.0000000000005"/>
    <n v="10"/>
    <n v="0"/>
    <n v="0.94199999999999995"/>
    <n v="0.99"/>
    <n v="3267.7603200000003"/>
    <n v="0"/>
    <s v="-"/>
    <s v="-"/>
    <s v="-"/>
    <n v="1963"/>
    <n v="3086"/>
    <n v="0.94437770760372042"/>
    <m/>
    <m/>
    <s v="x"/>
    <m/>
    <m/>
    <m/>
    <m/>
    <s v="ㅇ"/>
    <s v="ㅇ"/>
  </r>
  <r>
    <n v="944"/>
    <x v="941"/>
    <n v="1042"/>
    <x v="12"/>
    <n v="12"/>
    <x v="49"/>
    <x v="941"/>
    <s v="서울시 용산구 한강대로 167"/>
    <s v="현대에코솔라"/>
    <n v="11"/>
    <n v="29"/>
    <n v="2.6363636363636362"/>
    <n v="0.99111414900888573"/>
    <m/>
    <n v="0"/>
    <n v="0"/>
    <n v="3.0835200000000005"/>
    <m/>
    <s v="-"/>
    <s v="-"/>
    <s v="-"/>
    <s v="-"/>
    <s v="-"/>
    <n v="12848.000000000002"/>
    <n v="0"/>
    <n v="0"/>
    <n v="0.88400000000000001"/>
    <n v="0.99"/>
    <n v="11244.055680000003"/>
    <n v="0"/>
    <s v="-"/>
    <s v="-"/>
    <s v="-"/>
    <n v="9162"/>
    <n v="12969"/>
    <n v="1.15340944309518"/>
    <m/>
    <m/>
    <s v="x"/>
    <m/>
    <m/>
    <m/>
    <m/>
    <s v="ㅇ"/>
    <s v="ㅇ"/>
  </r>
  <r>
    <n v="945"/>
    <x v="942"/>
    <n v="1053"/>
    <x v="12"/>
    <n v="9"/>
    <x v="50"/>
    <x v="942"/>
    <s v="동대문구 서울시립대로 163"/>
    <s v="㈜코텍에너지"/>
    <n v="50"/>
    <n v="131.02000000000001"/>
    <n v="2.6204000000000001"/>
    <n v="0.98511278195488716"/>
    <m/>
    <n v="0"/>
    <n v="0"/>
    <n v="14.016"/>
    <m/>
    <s v="-"/>
    <s v="-"/>
    <s v="-"/>
    <s v="-"/>
    <s v="-"/>
    <n v="58400"/>
    <m/>
    <m/>
    <n v="1"/>
    <n v="0.99"/>
    <n v="57816"/>
    <n v="0"/>
    <s v="-"/>
    <s v="-"/>
    <n v="20416"/>
    <n v="46065"/>
    <n v="70677"/>
    <n v="1.2224470734744708"/>
    <m/>
    <m/>
    <s v="x"/>
    <m/>
    <m/>
    <m/>
    <m/>
    <s v="ㅇ"/>
    <s v="ㅇ"/>
  </r>
  <r>
    <n v="946"/>
    <x v="943"/>
    <n v="1016"/>
    <x v="12"/>
    <n v="8"/>
    <x v="2"/>
    <x v="943"/>
    <s v="서울시 서초구 남부순환로340길 58"/>
    <s v="㈜남성전력"/>
    <n v="21"/>
    <n v="55"/>
    <n v="2.6190476190476191"/>
    <n v="0.98460436806301466"/>
    <m/>
    <n v="0"/>
    <n v="0"/>
    <n v="5.8867200000000004"/>
    <m/>
    <s v="-"/>
    <s v="-"/>
    <s v="-"/>
    <s v="-"/>
    <s v="-"/>
    <n v="24528"/>
    <m/>
    <m/>
    <n v="1"/>
    <n v="0.99"/>
    <n v="24282.720000000001"/>
    <n v="0"/>
    <s v="-"/>
    <s v="-"/>
    <n v="8440"/>
    <n v="16160"/>
    <n v="25942"/>
    <n v="1.0683317190166506"/>
    <m/>
    <m/>
    <s v="x"/>
    <m/>
    <m/>
    <m/>
    <m/>
    <s v="ㅇ"/>
    <s v="ㅇ"/>
  </r>
  <r>
    <n v="949"/>
    <x v="944"/>
    <n v="998"/>
    <x v="12"/>
    <n v="11"/>
    <x v="89"/>
    <x v="944"/>
    <s v="경기 남양주시 고산로 171"/>
    <s v="(주)풍성인더스"/>
    <n v="67"/>
    <n v="178"/>
    <n v="2.6567164179104479"/>
    <n v="0.99876557064302551"/>
    <m/>
    <n v="0"/>
    <n v="0"/>
    <n v="18.78144"/>
    <m/>
    <s v="-"/>
    <s v="-"/>
    <s v="-"/>
    <s v="-"/>
    <s v="-"/>
    <n v="78256"/>
    <n v="15"/>
    <n v="0"/>
    <n v="0.96399999999999997"/>
    <n v="0.99"/>
    <n v="74684.396160000004"/>
    <n v="0"/>
    <s v="-"/>
    <s v="-"/>
    <n v="9922"/>
    <n v="48122"/>
    <n v="75179.69"/>
    <n v="1.0066318249255026"/>
    <m/>
    <m/>
    <s v="x"/>
    <m/>
    <m/>
    <m/>
    <m/>
    <s v="ㅇ"/>
    <s v="ㅇ"/>
  </r>
  <r>
    <n v="967"/>
    <x v="945"/>
    <n v="982"/>
    <x v="12"/>
    <n v="11"/>
    <x v="97"/>
    <x v="945"/>
    <s v="서울 서대문구 세검정로 168(홍제동)"/>
    <s v="지엔피"/>
    <n v="18"/>
    <n v="47"/>
    <n v="2.6111111111111112"/>
    <n v="0.98162071846282373"/>
    <m/>
    <n v="0"/>
    <n v="0"/>
    <n v="5.0457599999999996"/>
    <m/>
    <s v="-"/>
    <s v="-"/>
    <s v="-"/>
    <s v="-"/>
    <s v="-"/>
    <n v="21024"/>
    <n v="13"/>
    <n v="-10"/>
    <n v="0.96299999999999997"/>
    <n v="0.99"/>
    <n v="20043.650879999997"/>
    <n v="0"/>
    <s v="-"/>
    <s v="-"/>
    <n v="1498"/>
    <n v="11145"/>
    <n v="18947"/>
    <n v="0.94528686981400878"/>
    <m/>
    <m/>
    <s v="x"/>
    <m/>
    <m/>
    <m/>
    <m/>
    <s v="ㅇ"/>
    <s v="ㅇ"/>
  </r>
  <r>
    <n v="950"/>
    <x v="946"/>
    <n v="1018"/>
    <x v="12"/>
    <n v="12"/>
    <x v="98"/>
    <x v="946"/>
    <s v="서울 양천구 목동동로 155"/>
    <s v="패널, 인버터"/>
    <n v="66"/>
    <n v="189"/>
    <n v="2.8636363636363638"/>
    <n v="1.0765550239234449"/>
    <m/>
    <n v="0"/>
    <n v="0"/>
    <n v="18.50112"/>
    <m/>
    <s v="-"/>
    <s v="-"/>
    <s v="-"/>
    <s v="-"/>
    <s v="-"/>
    <n v="77088"/>
    <n v="11.3"/>
    <n v="-10"/>
    <n v="0.94599999999999995"/>
    <n v="0.99"/>
    <n v="72195.995519999997"/>
    <n v="0"/>
    <s v="-"/>
    <s v="-"/>
    <n v="2163"/>
    <n v="51120"/>
    <n v="77809"/>
    <n v="1.0777467564450312"/>
    <m/>
    <m/>
    <s v="x"/>
    <m/>
    <m/>
    <m/>
    <m/>
    <s v="ㅇ"/>
    <s v="ㅇ"/>
  </r>
  <r>
    <n v="951"/>
    <x v="947"/>
    <n v="1047"/>
    <x v="12"/>
    <n v="12"/>
    <x v="91"/>
    <x v="947"/>
    <s v="경기 하남시 서하남로 293"/>
    <s v="㈜비앤엠"/>
    <n v="54"/>
    <n v="142"/>
    <n v="2.6296296296296298"/>
    <n v="0.9885825675299359"/>
    <s v="구조물"/>
    <n v="0"/>
    <n v="0"/>
    <n v="15.137280000000002"/>
    <m/>
    <s v="-"/>
    <s v="-"/>
    <s v="-"/>
    <s v="-"/>
    <s v="-"/>
    <n v="63072.000000000007"/>
    <n v="20"/>
    <n v="0"/>
    <n v="0.98099999999999998"/>
    <n v="0.99"/>
    <n v="61254.895680000009"/>
    <n v="0"/>
    <s v="-"/>
    <s v="-"/>
    <n v="2403"/>
    <n v="45768"/>
    <n v="71496"/>
    <n v="1.1671883399083767"/>
    <m/>
    <m/>
    <s v="x"/>
    <m/>
    <m/>
    <m/>
    <m/>
    <s v="ㅇ"/>
    <s v="ㅇ"/>
  </r>
  <r>
    <n v="952"/>
    <x v="948"/>
    <n v="1058"/>
    <x v="12"/>
    <n v="12"/>
    <x v="73"/>
    <x v="948"/>
    <s v="서울 성동구 왕십리로 27"/>
    <s v="풍성인더스"/>
    <n v="84.375"/>
    <n v="199"/>
    <n v="2.3585185185185185"/>
    <n v="0.88666109718741293"/>
    <m/>
    <n v="0"/>
    <n v="0"/>
    <n v="23.652000000000001"/>
    <m/>
    <s v="-"/>
    <s v="-"/>
    <s v="-"/>
    <s v="-"/>
    <s v="-"/>
    <n v="98550"/>
    <n v="16"/>
    <n v="0"/>
    <n v="0.96399999999999997"/>
    <n v="0.99"/>
    <n v="94052.178"/>
    <n v="0"/>
    <s v="-"/>
    <s v="-"/>
    <n v="2700"/>
    <n v="74800"/>
    <n v="119363"/>
    <n v="1.2691146822777459"/>
    <m/>
    <m/>
    <s v="x"/>
    <m/>
    <m/>
    <m/>
    <m/>
    <s v="ㅇ"/>
    <s v="ㅇ"/>
  </r>
  <r>
    <n v="953"/>
    <x v="949"/>
    <n v="1005"/>
    <x v="12"/>
    <n v="12"/>
    <x v="73"/>
    <x v="949"/>
    <s v="서울 성동구 왕십리로 27"/>
    <s v="풍성인더스"/>
    <n v="33.75"/>
    <n v="85"/>
    <n v="2.5185185185185186"/>
    <n v="0.94681147312726255"/>
    <m/>
    <n v="0"/>
    <n v="0"/>
    <n v="9.4608000000000008"/>
    <m/>
    <s v="-"/>
    <s v="-"/>
    <s v="-"/>
    <s v="-"/>
    <s v="-"/>
    <n v="39420"/>
    <n v="19"/>
    <n v="0"/>
    <n v="0.98099999999999998"/>
    <n v="0.99"/>
    <n v="38284.309800000003"/>
    <n v="0"/>
    <s v="-"/>
    <s v="-"/>
    <n v="2000"/>
    <n v="22600"/>
    <n v="38960"/>
    <n v="1.0176492720785577"/>
    <m/>
    <m/>
    <s v="x"/>
    <m/>
    <m/>
    <m/>
    <m/>
    <s v="ㅇ"/>
    <s v="ㅇ"/>
  </r>
  <r>
    <n v="954"/>
    <x v="950"/>
    <n v="1022"/>
    <x v="12"/>
    <n v="12"/>
    <x v="99"/>
    <x v="950"/>
    <s v="서울 성동구 왕십리로 27"/>
    <s v="풍성인더스"/>
    <n v="33.75"/>
    <n v="83"/>
    <n v="2.4592592592592593"/>
    <n v="0.92453355611250343"/>
    <m/>
    <n v="0"/>
    <n v="0"/>
    <n v="9.4608000000000008"/>
    <m/>
    <s v="-"/>
    <s v="-"/>
    <s v="-"/>
    <s v="-"/>
    <s v="-"/>
    <n v="39420"/>
    <n v="19"/>
    <n v="0"/>
    <n v="0.98099999999999998"/>
    <n v="0.99"/>
    <n v="38284.309800000003"/>
    <n v="0"/>
    <s v="-"/>
    <s v="-"/>
    <n v="1200"/>
    <n v="24700"/>
    <n v="41514"/>
    <n v="1.0843606745654324"/>
    <m/>
    <m/>
    <s v="x"/>
    <m/>
    <m/>
    <m/>
    <m/>
    <s v="ㅇ"/>
    <s v="ㅇ"/>
  </r>
  <r>
    <n v="957"/>
    <x v="951"/>
    <n v="1004"/>
    <x v="12"/>
    <n v="12"/>
    <x v="90"/>
    <x v="951"/>
    <s v="서울 강동구 아리수로 131"/>
    <s v="코텍에너지"/>
    <n v="78"/>
    <n v="207"/>
    <n v="2.6538461538461537"/>
    <n v="0.99768652400231339"/>
    <m/>
    <n v="0"/>
    <n v="0"/>
    <n v="21.864960000000004"/>
    <m/>
    <s v="-"/>
    <s v="-"/>
    <s v="-"/>
    <s v="-"/>
    <s v="-"/>
    <n v="91104.000000000015"/>
    <n v="10"/>
    <n v="0"/>
    <n v="0.94199999999999995"/>
    <n v="0.99"/>
    <n v="84961.768320000017"/>
    <n v="0"/>
    <s v="-"/>
    <s v="-"/>
    <n v="250"/>
    <n v="50856"/>
    <n v="86402"/>
    <n v="1.0169515266510873"/>
    <m/>
    <m/>
    <s v="x"/>
    <m/>
    <m/>
    <m/>
    <m/>
    <s v="ㅇ"/>
    <s v="ㅇ"/>
  </r>
  <r>
    <n v="956"/>
    <x v="952"/>
    <n v="1051"/>
    <x v="12"/>
    <n v="12"/>
    <x v="90"/>
    <x v="952"/>
    <s v="서울 강동구 아리수로 131"/>
    <s v="삼광산전"/>
    <n v="121"/>
    <n v="190"/>
    <n v="1.5702479338842976"/>
    <n v="0.59031877213695394"/>
    <m/>
    <n v="0"/>
    <n v="0"/>
    <n v="33.918720000000008"/>
    <m/>
    <s v="-"/>
    <s v="-"/>
    <s v="-"/>
    <s v="-"/>
    <s v="-"/>
    <n v="141328.00000000003"/>
    <n v="12"/>
    <n v="0"/>
    <n v="0.94199999999999995"/>
    <n v="0.99"/>
    <n v="131799.66624000002"/>
    <n v="0"/>
    <s v="-"/>
    <s v="-"/>
    <n v="431"/>
    <n v="96517"/>
    <n v="155776"/>
    <n v="1.1819149808493474"/>
    <m/>
    <m/>
    <s v="x"/>
    <m/>
    <m/>
    <m/>
    <m/>
    <s v="ㅇ"/>
    <s v="ㅇ"/>
  </r>
  <r>
    <n v="955"/>
    <x v="953"/>
    <n v="1048"/>
    <x v="12"/>
    <n v="12"/>
    <x v="90"/>
    <x v="953"/>
    <s v="서울 강동구 아리수로 131"/>
    <s v="지투파워㈜"/>
    <n v="36"/>
    <n v="92"/>
    <n v="2.5555555555555554"/>
    <n v="0.96073517126148689"/>
    <m/>
    <n v="0"/>
    <n v="0"/>
    <n v="10.091519999999999"/>
    <m/>
    <s v="-"/>
    <s v="-"/>
    <s v="-"/>
    <s v="-"/>
    <s v="-"/>
    <n v="42048"/>
    <n v="25"/>
    <n v="0"/>
    <n v="0.99199999999999999"/>
    <n v="0.99"/>
    <n v="41294.499839999997"/>
    <n v="0"/>
    <s v="-"/>
    <s v="-"/>
    <n v="434"/>
    <n v="31343"/>
    <n v="48334"/>
    <n v="1.1704706483254503"/>
    <m/>
    <m/>
    <s v="x"/>
    <m/>
    <m/>
    <m/>
    <m/>
    <s v="ㅇ"/>
    <s v="ㅇ"/>
  </r>
  <r>
    <n v="960"/>
    <x v="954"/>
    <n v="1039"/>
    <x v="12"/>
    <n v="12"/>
    <x v="25"/>
    <x v="954"/>
    <s v="서울 영등포구 노들로 11"/>
    <s v="㈜풍성인더스"/>
    <n v="30"/>
    <n v="77"/>
    <n v="2.5666666666666669"/>
    <n v="0.96491228070175439"/>
    <m/>
    <n v="0"/>
    <n v="0"/>
    <n v="8.4095999999999993"/>
    <m/>
    <s v="-"/>
    <s v="-"/>
    <s v="-"/>
    <s v="-"/>
    <s v="-"/>
    <n v="35040"/>
    <n v="8"/>
    <n v="-32"/>
    <n v="0.93400000000000005"/>
    <n v="0.99"/>
    <n v="32400.0864"/>
    <n v="0"/>
    <s v="-"/>
    <s v="-"/>
    <n v="1164"/>
    <n v="24479"/>
    <n v="37181"/>
    <n v="1.1475586682386132"/>
    <m/>
    <m/>
    <s v="x"/>
    <m/>
    <m/>
    <m/>
    <m/>
    <s v="ㅇ"/>
    <s v="ㅇ"/>
  </r>
  <r>
    <n v="959"/>
    <x v="955"/>
    <n v="1006"/>
    <x v="12"/>
    <n v="12"/>
    <x v="25"/>
    <x v="955"/>
    <s v="서울 영등포구 노들로 11"/>
    <s v="㈜풍성인더스"/>
    <n v="90"/>
    <n v="230"/>
    <n v="2.5555555555555554"/>
    <n v="0.96073517126148689"/>
    <m/>
    <n v="0"/>
    <n v="0"/>
    <n v="25.2288"/>
    <m/>
    <s v="-"/>
    <s v="-"/>
    <s v="-"/>
    <s v="-"/>
    <s v="-"/>
    <n v="105120"/>
    <n v="15"/>
    <n v="-32"/>
    <n v="0.95199999999999996"/>
    <n v="0.99"/>
    <n v="99073.497600000002"/>
    <n v="0"/>
    <s v="-"/>
    <s v="-"/>
    <n v="1533"/>
    <n v="69362"/>
    <n v="100850"/>
    <n v="1.0179311565962117"/>
    <m/>
    <m/>
    <s v="x"/>
    <m/>
    <m/>
    <m/>
    <m/>
    <s v="ㅇ"/>
    <s v="ㅇ"/>
  </r>
  <r>
    <n v="961"/>
    <x v="956"/>
    <n v="1024"/>
    <x v="12"/>
    <n v="12"/>
    <x v="25"/>
    <x v="956"/>
    <s v="서울 영등포구 노들로 11"/>
    <s v="㈜풍성인더스"/>
    <n v="51.8"/>
    <n v="132"/>
    <n v="2.5482625482625485"/>
    <n v="0.95799343919644675"/>
    <m/>
    <n v="0"/>
    <n v="0"/>
    <n v="14.520575999999998"/>
    <m/>
    <s v="-"/>
    <s v="-"/>
    <s v="-"/>
    <s v="-"/>
    <s v="-"/>
    <n v="60502.399999999994"/>
    <n v="12"/>
    <n v="-32"/>
    <n v="0.93400000000000005"/>
    <n v="0.99"/>
    <n v="55944.149183999994"/>
    <n v="0"/>
    <s v="-"/>
    <s v="-"/>
    <n v="1022"/>
    <n v="39436"/>
    <n v="60809"/>
    <n v="1.0869590634044597"/>
    <m/>
    <m/>
    <s v="x"/>
    <m/>
    <m/>
    <m/>
    <m/>
    <s v="ㅇ"/>
    <s v="ㅇ"/>
  </r>
  <r>
    <n v="958"/>
    <x v="957"/>
    <n v="1036"/>
    <x v="12"/>
    <n v="12"/>
    <x v="25"/>
    <x v="957"/>
    <s v="서울 영등포구 노들로 11"/>
    <s v="㈜풍성인더스"/>
    <n v="49.5"/>
    <n v="127"/>
    <n v="2.5656565656565657"/>
    <n v="0.96453254347991191"/>
    <m/>
    <n v="0"/>
    <n v="0"/>
    <n v="13.87584"/>
    <m/>
    <s v="-"/>
    <s v="-"/>
    <s v="-"/>
    <s v="-"/>
    <s v="-"/>
    <n v="57816"/>
    <n v="10"/>
    <n v="0"/>
    <n v="0.94199999999999995"/>
    <n v="0.99"/>
    <n v="53918.045279999998"/>
    <n v="0"/>
    <s v="-"/>
    <s v="-"/>
    <n v="1164"/>
    <n v="40062"/>
    <n v="61012"/>
    <n v="1.1315692118132366"/>
    <m/>
    <m/>
    <s v="x"/>
    <m/>
    <m/>
    <m/>
    <m/>
    <s v="ㅇ"/>
    <s v="ㅇ"/>
  </r>
  <r>
    <n v="962"/>
    <x v="958"/>
    <n v="970"/>
    <x v="12"/>
    <n v="6"/>
    <x v="26"/>
    <x v="958"/>
    <s v="강동구 선사로 83-66"/>
    <s v="주)지엔피"/>
    <n v="10"/>
    <n v="30"/>
    <n v="3"/>
    <n v="1.1278195488721805"/>
    <m/>
    <n v="0"/>
    <n v="0"/>
    <n v="2.8031999999999999"/>
    <m/>
    <s v="-"/>
    <s v="-"/>
    <s v="-"/>
    <s v="-"/>
    <s v="-"/>
    <n v="11680"/>
    <m/>
    <m/>
    <n v="1"/>
    <n v="0.99"/>
    <n v="11563.2"/>
    <n v="0"/>
    <s v="-"/>
    <s v="-"/>
    <n v="6244"/>
    <n v="8336"/>
    <n v="10712"/>
    <n v="0.9263871592638715"/>
    <m/>
    <m/>
    <s v="x"/>
    <m/>
    <m/>
    <m/>
    <m/>
    <s v="ㅇ"/>
    <s v="ㅇ"/>
  </r>
  <r>
    <n v="931"/>
    <x v="959"/>
    <n v="1007"/>
    <x v="12"/>
    <n v="5"/>
    <x v="100"/>
    <x v="959"/>
    <s v="노원구 동일로174길 27"/>
    <s v="㈜코텍에너지"/>
    <n v="48"/>
    <n v="100"/>
    <n v="2.0833333333333335"/>
    <n v="0.78320802005012535"/>
    <m/>
    <n v="0"/>
    <n v="0"/>
    <n v="13.455360000000002"/>
    <m/>
    <s v="-"/>
    <s v="-"/>
    <s v="-"/>
    <s v="-"/>
    <s v="-"/>
    <n v="56064.000000000007"/>
    <m/>
    <m/>
    <n v="1"/>
    <n v="0.99"/>
    <n v="55503.360000000008"/>
    <n v="0"/>
    <s v="-"/>
    <s v="-"/>
    <n v="35690"/>
    <n v="38540"/>
    <n v="57176"/>
    <n v="1.0301358332180248"/>
    <m/>
    <m/>
    <s v="x"/>
    <m/>
    <m/>
    <m/>
    <m/>
    <s v="ㅇ"/>
    <s v="ㅇ"/>
  </r>
  <r>
    <n v="963"/>
    <x v="960"/>
    <n v="924"/>
    <x v="12"/>
    <n v="12"/>
    <x v="66"/>
    <x v="960"/>
    <s v="서울시 마포구 하늘공원로 84"/>
    <s v="㈜풍성인더스"/>
    <n v="60"/>
    <n v="159"/>
    <n v="2.65"/>
    <n v="0.99624060150375926"/>
    <m/>
    <n v="2.1"/>
    <n v="17.5"/>
    <n v="14.719199999999999"/>
    <s v="수리비용, 유지관리"/>
    <s v="-"/>
    <s v="-"/>
    <s v="-"/>
    <s v="-"/>
    <n v="2.1"/>
    <n v="70080"/>
    <m/>
    <m/>
    <n v="1"/>
    <n v="0.99"/>
    <n v="69379.199999999997"/>
    <n v="0"/>
    <s v="-"/>
    <s v="-"/>
    <s v="-"/>
    <n v="34841"/>
    <n v="60268"/>
    <n v="0.8686753378534201"/>
    <m/>
    <s v="ESS 연계를 위해 가동시간 조정"/>
    <s v="ㅇ"/>
    <s v="인버터"/>
    <n v="1.5279"/>
    <n v="1"/>
    <m/>
    <s v="ㅇ"/>
    <s v="ㅇ"/>
  </r>
  <r>
    <n v="968"/>
    <x v="961"/>
    <n v="1019"/>
    <x v="12"/>
    <n v="6"/>
    <x v="57"/>
    <x v="961"/>
    <s v="서울시 성동구 자동차시장길 41"/>
    <s v="지투파워㈜"/>
    <n v="141.12"/>
    <n v="621"/>
    <n v="4.4005102040816322"/>
    <n v="1.654327144391591"/>
    <s v="구조물"/>
    <n v="0"/>
    <n v="0"/>
    <n v="39.558758400000009"/>
    <m/>
    <s v="-"/>
    <s v="-"/>
    <s v="-"/>
    <s v="-"/>
    <s v="-"/>
    <n v="164828.16000000003"/>
    <m/>
    <m/>
    <n v="1"/>
    <n v="0.99"/>
    <n v="163179.87840000005"/>
    <n v="0"/>
    <s v="-"/>
    <s v="-"/>
    <n v="74898"/>
    <n v="114207"/>
    <n v="176496"/>
    <n v="1.0816039436391685"/>
    <m/>
    <m/>
    <s v="x"/>
    <m/>
    <m/>
    <m/>
    <m/>
    <s v="ㅇ"/>
    <s v="ㅇ"/>
  </r>
  <r>
    <n v="966"/>
    <x v="962"/>
    <n v="990"/>
    <x v="12"/>
    <n v="11"/>
    <x v="28"/>
    <x v="962"/>
    <s v="서울시 마포구 가양대로 203(상암동)"/>
    <s v="㈜풍성인더스"/>
    <n v="70.56"/>
    <n v="328"/>
    <n v="4.6485260770975056"/>
    <n v="1.7475661943975584"/>
    <s v="구조물"/>
    <n v="0"/>
    <n v="0"/>
    <n v="19.779379200000005"/>
    <m/>
    <s v="-"/>
    <s v="-"/>
    <s v="-"/>
    <s v="-"/>
    <s v="-"/>
    <n v="82414.080000000016"/>
    <m/>
    <m/>
    <n v="1"/>
    <n v="0.99"/>
    <n v="81589.939200000023"/>
    <n v="0"/>
    <s v="-"/>
    <s v="-"/>
    <s v="-"/>
    <n v="46774.77"/>
    <n v="79122"/>
    <n v="0.96975191764819924"/>
    <m/>
    <m/>
    <s v="x"/>
    <m/>
    <m/>
    <m/>
    <m/>
    <s v="ㅇ"/>
    <s v="ㅇ"/>
  </r>
  <r>
    <n v="964"/>
    <x v="963"/>
    <n v="1032"/>
    <x v="12"/>
    <n v="12"/>
    <x v="101"/>
    <x v="963"/>
    <s v="서울 금천구 시흥동 961-5"/>
    <s v="㈜코텍에너지"/>
    <n v="50.63"/>
    <n v="153"/>
    <n v="3.0219237606162355"/>
    <n v="1.1360615641414418"/>
    <s v="구조물"/>
    <n v="0"/>
    <n v="0"/>
    <n v="14.192601600000001"/>
    <m/>
    <s v="-"/>
    <s v="-"/>
    <s v="-"/>
    <s v="-"/>
    <s v="-"/>
    <n v="59135.840000000004"/>
    <n v="-1"/>
    <n v="15"/>
    <n v="0.96399999999999997"/>
    <n v="0.99"/>
    <n v="56436.880262400002"/>
    <n v="0"/>
    <s v="-"/>
    <s v="-"/>
    <s v="-"/>
    <n v="42730"/>
    <n v="65330"/>
    <n v="1.1575763879266883"/>
    <m/>
    <m/>
    <s v="x"/>
    <m/>
    <m/>
    <m/>
    <m/>
    <s v="ㅇ"/>
    <s v="ㅇ"/>
  </r>
  <r>
    <n v="965"/>
    <x v="964"/>
    <n v="927"/>
    <x v="12"/>
    <n v="12"/>
    <x v="63"/>
    <x v="964"/>
    <s v="서울 서초구 원지동 87-2"/>
    <s v="에이컴에너지㈜"/>
    <n v="22"/>
    <n v="58"/>
    <n v="2.6363636363636362"/>
    <n v="0.99111414900888573"/>
    <m/>
    <n v="0.2"/>
    <n v="4.5454545454545459"/>
    <n v="5.9670400000000008"/>
    <m/>
    <s v="-"/>
    <s v="-"/>
    <s v="-"/>
    <s v="-"/>
    <n v="0.2"/>
    <n v="25696.000000000004"/>
    <m/>
    <m/>
    <n v="1"/>
    <n v="0.99"/>
    <n v="25439.040000000005"/>
    <n v="0"/>
    <s v="-"/>
    <s v="-"/>
    <n v="762"/>
    <n v="14562"/>
    <n v="22527"/>
    <n v="0.88552869919619592"/>
    <m/>
    <s v="정상가동"/>
    <s v="x"/>
    <m/>
    <m/>
    <m/>
    <m/>
    <s v="ㅇ"/>
    <s v="ㅇ"/>
  </r>
  <r>
    <n v="969"/>
    <x v="965"/>
    <n v="1013"/>
    <x v="12"/>
    <n v="4"/>
    <x v="3"/>
    <x v="965"/>
    <s v="동작구 여의대방로20길 33"/>
    <s v="(주)코텍에너지"/>
    <n v="46"/>
    <n v="190"/>
    <n v="4.1304347826086953"/>
    <n v="1.5527950310559004"/>
    <s v="구조물"/>
    <n v="0"/>
    <n v="0"/>
    <n v="12.894720000000001"/>
    <m/>
    <s v="-"/>
    <s v="-"/>
    <s v="-"/>
    <s v="-"/>
    <s v="-"/>
    <n v="53728.000000000007"/>
    <m/>
    <m/>
    <n v="1"/>
    <n v="0.99"/>
    <n v="53190.720000000008"/>
    <n v="0"/>
    <s v="-"/>
    <s v="-"/>
    <n v="44576"/>
    <n v="39448"/>
    <n v="56064"/>
    <n v="1.054018445322793"/>
    <m/>
    <m/>
    <s v="x"/>
    <m/>
    <m/>
    <m/>
    <m/>
    <s v="ㅇ"/>
    <s v="ㅇ"/>
  </r>
  <r>
    <n v="970"/>
    <x v="966"/>
    <n v="1057"/>
    <x v="12"/>
    <n v="11"/>
    <x v="3"/>
    <x v="966"/>
    <s v="서울시 강남구 율현동 165-2 근린공원4호 휴게실2"/>
    <s v="㈜에이컴에너지"/>
    <n v="8"/>
    <n v="20"/>
    <n v="2.5"/>
    <n v="0.93984962406015038"/>
    <m/>
    <n v="0"/>
    <n v="0"/>
    <n v="2.2425600000000001"/>
    <m/>
    <s v="-"/>
    <s v="-"/>
    <s v="-"/>
    <s v="-"/>
    <s v="-"/>
    <n v="9344"/>
    <m/>
    <m/>
    <n v="1"/>
    <n v="0.99"/>
    <n v="9250.56"/>
    <n v="0"/>
    <s v="-"/>
    <s v="-"/>
    <n v="1848"/>
    <n v="6078"/>
    <n v="11685"/>
    <n v="1.2631667704441678"/>
    <m/>
    <m/>
    <s v="x"/>
    <m/>
    <m/>
    <m/>
    <m/>
    <s v="ㅇ"/>
    <s v="ㅇ"/>
  </r>
  <r>
    <n v="971"/>
    <x v="967"/>
    <n v="1020"/>
    <x v="12"/>
    <n v="6"/>
    <x v="30"/>
    <x v="967"/>
    <s v="마포구 상암동481-6"/>
    <s v="(주)코텍에너지"/>
    <n v="162"/>
    <n v="656"/>
    <n v="4.0493827160493829"/>
    <n v="1.5223243293418731"/>
    <s v="구조물"/>
    <n v="0"/>
    <n v="0"/>
    <n v="45.411839999999998"/>
    <m/>
    <s v="-"/>
    <s v="-"/>
    <s v="-"/>
    <s v="-"/>
    <s v="-"/>
    <n v="189216"/>
    <m/>
    <m/>
    <n v="1"/>
    <n v="0.99"/>
    <n v="187323.84"/>
    <n v="0"/>
    <s v="-"/>
    <s v="-"/>
    <n v="66337"/>
    <n v="128921"/>
    <n v="202626"/>
    <n v="1.0816882677613271"/>
    <m/>
    <m/>
    <s v="x"/>
    <m/>
    <m/>
    <m/>
    <m/>
    <s v="ㅇ"/>
    <s v="ㅇ"/>
  </r>
  <r>
    <n v="972"/>
    <x v="968"/>
    <n v="922"/>
    <x v="12"/>
    <n v="6"/>
    <x v="5"/>
    <x v="968"/>
    <s v="서울시 강서구 개화동로8길 17"/>
    <s v="쏠라리버㈜"/>
    <n v="20.399999999999999"/>
    <n v="59"/>
    <n v="2.8921568627450984"/>
    <n v="1.0872770160695857"/>
    <m/>
    <n v="0.30000000000000004"/>
    <n v="7.3529411764705896"/>
    <n v="5.4185280000000002"/>
    <m/>
    <s v="-"/>
    <s v="-"/>
    <s v="-"/>
    <n v="0.1"/>
    <n v="0.2"/>
    <n v="23827.200000000001"/>
    <m/>
    <m/>
    <n v="1"/>
    <n v="0.99"/>
    <n v="23588.928"/>
    <n v="0"/>
    <s v="-"/>
    <s v="-"/>
    <n v="12114"/>
    <n v="16292"/>
    <n v="23845"/>
    <n v="1.0108556014075756"/>
    <m/>
    <s v="19년,20년 인버터 소모품 교체"/>
    <s v="ㅇ"/>
    <s v="기타"/>
    <n v="0.2"/>
    <n v="1"/>
    <m/>
    <s v="ㅇ"/>
    <s v="ㅇ"/>
  </r>
  <r>
    <n v="973"/>
    <x v="969"/>
    <n v="1033"/>
    <x v="12"/>
    <n v="11"/>
    <x v="5"/>
    <x v="969"/>
    <s v="광진구 능동로216"/>
    <s v="이에스솔라"/>
    <n v="50"/>
    <n v="133"/>
    <n v="2.66"/>
    <n v="1"/>
    <m/>
    <n v="0"/>
    <n v="0"/>
    <n v="14.016"/>
    <m/>
    <s v="-"/>
    <s v="-"/>
    <s v="-"/>
    <s v="-"/>
    <s v="-"/>
    <n v="58400"/>
    <m/>
    <m/>
    <n v="1"/>
    <n v="0.99"/>
    <n v="57816"/>
    <n v="0"/>
    <s v="-"/>
    <s v="-"/>
    <n v="9227"/>
    <n v="42599"/>
    <n v="64560"/>
    <n v="1.1166459111664591"/>
    <m/>
    <m/>
    <s v="x"/>
    <m/>
    <m/>
    <m/>
    <m/>
    <s v="ㅇ"/>
    <s v="ㅇ"/>
  </r>
  <r>
    <n v="974"/>
    <x v="970"/>
    <n v="1037"/>
    <x v="12"/>
    <n v="11"/>
    <x v="5"/>
    <x v="970"/>
    <s v="광진구 능동로216"/>
    <s v="이에스솔라"/>
    <n v="30"/>
    <n v="80"/>
    <n v="2.6666666666666665"/>
    <n v="1.0025062656641603"/>
    <m/>
    <n v="0"/>
    <n v="0"/>
    <n v="8.4095999999999993"/>
    <m/>
    <s v="-"/>
    <s v="-"/>
    <s v="-"/>
    <s v="-"/>
    <s v="-"/>
    <n v="35040"/>
    <m/>
    <m/>
    <n v="1"/>
    <n v="0.99"/>
    <n v="34689.599999999999"/>
    <n v="0"/>
    <s v="-"/>
    <s v="-"/>
    <n v="7379"/>
    <n v="25004"/>
    <n v="39694"/>
    <n v="1.144262257275956"/>
    <m/>
    <m/>
    <s v="x"/>
    <m/>
    <m/>
    <m/>
    <m/>
    <s v="ㅇ"/>
    <s v="ㅇ"/>
  </r>
  <r>
    <n v="975"/>
    <x v="971"/>
    <n v="1060"/>
    <x v="12"/>
    <n v="7"/>
    <x v="6"/>
    <x v="971"/>
    <s v="중랑구 신내로 208"/>
    <s v="㈜다스테크"/>
    <n v="20.100000000000001"/>
    <n v="52"/>
    <n v="2.5870646766169152"/>
    <n v="0.9725807054950808"/>
    <m/>
    <n v="0"/>
    <n v="0"/>
    <n v="5.6344320000000012"/>
    <m/>
    <s v="-"/>
    <s v="-"/>
    <s v="-"/>
    <s v="-"/>
    <s v="-"/>
    <n v="23476.800000000003"/>
    <m/>
    <m/>
    <n v="1"/>
    <n v="0.99"/>
    <n v="23242.032000000003"/>
    <n v="0"/>
    <s v="-"/>
    <s v="-"/>
    <n v="19426"/>
    <n v="15600"/>
    <n v="29760"/>
    <n v="1.2804388187745372"/>
    <m/>
    <m/>
    <s v="x"/>
    <m/>
    <m/>
    <m/>
    <m/>
    <s v="ㅇ"/>
    <s v="ㅇ"/>
  </r>
  <r>
    <n v="980"/>
    <x v="972"/>
    <n v="993"/>
    <x v="12"/>
    <n v="12"/>
    <x v="6"/>
    <x v="972"/>
    <s v="서울 금천구 금하로 793"/>
    <s v="㈜헥스파워시스템"/>
    <n v="70"/>
    <n v="201"/>
    <n v="2.8714285714285714"/>
    <n v="1.079484425349087"/>
    <m/>
    <n v="0"/>
    <n v="0"/>
    <n v="19.622399999999999"/>
    <m/>
    <s v="-"/>
    <s v="-"/>
    <s v="-"/>
    <s v="-"/>
    <s v="-"/>
    <n v="81760"/>
    <m/>
    <m/>
    <n v="1"/>
    <n v="0.99"/>
    <n v="80942.399999999994"/>
    <n v="0"/>
    <s v="-"/>
    <s v="-"/>
    <s v="-"/>
    <n v="50317"/>
    <n v="80069"/>
    <n v="0.98920961078495329"/>
    <m/>
    <m/>
    <s v="x"/>
    <m/>
    <m/>
    <m/>
    <m/>
    <s v="ㅇ"/>
    <s v="ㅇ"/>
  </r>
  <r>
    <n v="979"/>
    <x v="973"/>
    <n v="995"/>
    <x v="12"/>
    <n v="12"/>
    <x v="6"/>
    <x v="973"/>
    <s v="서울시 성북구 길음로13길 22"/>
    <s v="㈜켐스코"/>
    <n v="45"/>
    <n v="129"/>
    <n v="2.8666666666666667"/>
    <n v="1.0776942355889725"/>
    <m/>
    <n v="0"/>
    <n v="0"/>
    <n v="12.6144"/>
    <m/>
    <s v="-"/>
    <s v="-"/>
    <s v="-"/>
    <s v="-"/>
    <s v="-"/>
    <n v="52560"/>
    <m/>
    <m/>
    <n v="1"/>
    <n v="0.99"/>
    <n v="52034.400000000001"/>
    <n v="0"/>
    <s v="-"/>
    <s v="-"/>
    <s v="-"/>
    <n v="34104"/>
    <n v="51503"/>
    <n v="0.98978752517565305"/>
    <m/>
    <m/>
    <s v="x"/>
    <m/>
    <m/>
    <m/>
    <m/>
    <s v="ㅇ"/>
    <s v="ㅇ"/>
  </r>
  <r>
    <n v="985"/>
    <x v="974"/>
    <n v="965"/>
    <x v="12"/>
    <n v="12"/>
    <x v="6"/>
    <x v="974"/>
    <s v="서울시 성북구 북악산로 913"/>
    <s v="㈜켐스코"/>
    <n v="35"/>
    <n v="100"/>
    <n v="2.8571428571428572"/>
    <n v="1.0741138560687433"/>
    <m/>
    <n v="0"/>
    <n v="0"/>
    <n v="9.8111999999999995"/>
    <m/>
    <s v="-"/>
    <s v="-"/>
    <s v="-"/>
    <s v="-"/>
    <s v="-"/>
    <n v="40880"/>
    <m/>
    <m/>
    <n v="1"/>
    <n v="0.99"/>
    <n v="40471.199999999997"/>
    <n v="0"/>
    <s v="-"/>
    <s v="-"/>
    <s v="-"/>
    <n v="22952"/>
    <n v="37130"/>
    <n v="0.91744252703156814"/>
    <m/>
    <m/>
    <s v="x"/>
    <m/>
    <m/>
    <m/>
    <m/>
    <s v="ㅇ"/>
    <s v="ㅇ"/>
  </r>
  <r>
    <n v="982"/>
    <x v="975"/>
    <n v="1017"/>
    <x v="12"/>
    <n v="12"/>
    <x v="6"/>
    <x v="975"/>
    <s v="마조로15가길 23 (마장동, 마장 에스에이치빌)"/>
    <s v="㈜쏠라리버"/>
    <n v="60"/>
    <n v="172"/>
    <n v="2.8666666666666667"/>
    <n v="1.0776942355889725"/>
    <m/>
    <n v="0"/>
    <n v="0"/>
    <n v="16.819199999999999"/>
    <m/>
    <s v="-"/>
    <s v="-"/>
    <s v="-"/>
    <s v="-"/>
    <s v="-"/>
    <n v="70080"/>
    <m/>
    <m/>
    <n v="1"/>
    <n v="0.99"/>
    <n v="69379.199999999997"/>
    <n v="0"/>
    <s v="-"/>
    <s v="-"/>
    <s v="-"/>
    <n v="47142"/>
    <n v="74211"/>
    <n v="1.0696433513214336"/>
    <m/>
    <m/>
    <s v="x"/>
    <m/>
    <m/>
    <m/>
    <m/>
    <s v="ㅇ"/>
    <s v="ㅇ"/>
  </r>
  <r>
    <n v="976"/>
    <x v="976"/>
    <n v="1023"/>
    <x v="12"/>
    <n v="12"/>
    <x v="6"/>
    <x v="976"/>
    <s v="서울시 강북구 삼양로19길 113"/>
    <s v="㈜켐스코"/>
    <n v="60"/>
    <n v="172"/>
    <n v="2.8666666666666667"/>
    <n v="1.0776942355889725"/>
    <m/>
    <n v="0"/>
    <n v="0"/>
    <n v="16.819199999999999"/>
    <m/>
    <s v="-"/>
    <s v="-"/>
    <s v="-"/>
    <s v="-"/>
    <s v="-"/>
    <n v="70080"/>
    <m/>
    <m/>
    <n v="1"/>
    <n v="0.99"/>
    <n v="69379.199999999997"/>
    <n v="0"/>
    <s v="-"/>
    <s v="-"/>
    <s v="-"/>
    <n v="49239"/>
    <n v="75384"/>
    <n v="1.0865504358655045"/>
    <m/>
    <m/>
    <s v="x"/>
    <m/>
    <m/>
    <m/>
    <m/>
    <s v="ㅇ"/>
    <s v="ㅇ"/>
  </r>
  <r>
    <n v="986"/>
    <x v="977"/>
    <n v="971"/>
    <x v="12"/>
    <n v="12"/>
    <x v="6"/>
    <x v="977"/>
    <s v="만양로 19 (노량진동, 신동아리버파크아파트)"/>
    <s v="㈜제이에이치에너지"/>
    <n v="50"/>
    <n v="143"/>
    <n v="2.86"/>
    <n v="1.0751879699248119"/>
    <m/>
    <n v="0"/>
    <n v="0"/>
    <n v="14.016"/>
    <m/>
    <s v="-"/>
    <s v="-"/>
    <s v="-"/>
    <s v="-"/>
    <s v="-"/>
    <n v="58400"/>
    <m/>
    <m/>
    <n v="1"/>
    <n v="0.99"/>
    <n v="57816"/>
    <n v="0"/>
    <s v="-"/>
    <s v="-"/>
    <s v="-"/>
    <n v="35791"/>
    <n v="53757"/>
    <n v="0.9297945205479452"/>
    <m/>
    <m/>
    <s v="x"/>
    <m/>
    <m/>
    <m/>
    <m/>
    <s v="ㅇ"/>
    <s v="ㅇ"/>
  </r>
  <r>
    <n v="984"/>
    <x v="978"/>
    <n v="957"/>
    <x v="12"/>
    <n v="12"/>
    <x v="6"/>
    <x v="978"/>
    <s v="헌릉로590길 88 (세곡동, 세곡리엔파크4단지)"/>
    <s v="㈜쏠라리버"/>
    <n v="80"/>
    <n v="172"/>
    <n v="2.15"/>
    <n v="0.80827067669172925"/>
    <m/>
    <n v="0"/>
    <n v="0"/>
    <n v="22.425599999999999"/>
    <m/>
    <s v="-"/>
    <s v="-"/>
    <s v="-"/>
    <s v="-"/>
    <s v="-"/>
    <n v="93440"/>
    <m/>
    <m/>
    <n v="1"/>
    <n v="0.99"/>
    <n v="92505.600000000006"/>
    <n v="0"/>
    <s v="-"/>
    <s v="-"/>
    <s v="-"/>
    <n v="47881"/>
    <n v="83704"/>
    <n v="0.90485332779853322"/>
    <m/>
    <m/>
    <s v="x"/>
    <m/>
    <m/>
    <m/>
    <m/>
    <s v="ㅇ"/>
    <s v="ㅇ"/>
  </r>
  <r>
    <n v="981"/>
    <x v="979"/>
    <n v="1035"/>
    <x v="12"/>
    <n v="12"/>
    <x v="6"/>
    <x v="979"/>
    <s v="서울 금천구 금하로 796"/>
    <s v="㈜제이에이치에너지"/>
    <n v="80"/>
    <n v="229"/>
    <n v="2.8624999999999998"/>
    <n v="1.0761278195488722"/>
    <m/>
    <n v="0"/>
    <n v="0"/>
    <n v="22.425599999999999"/>
    <m/>
    <s v="-"/>
    <s v="-"/>
    <s v="-"/>
    <s v="-"/>
    <s v="-"/>
    <n v="93440"/>
    <m/>
    <m/>
    <n v="1"/>
    <n v="0.99"/>
    <n v="92505.600000000006"/>
    <n v="0"/>
    <s v="-"/>
    <s v="-"/>
    <s v="-"/>
    <n v="65089"/>
    <n v="104472"/>
    <n v="1.1293586550435866"/>
    <m/>
    <m/>
    <s v="x"/>
    <m/>
    <m/>
    <m/>
    <m/>
    <s v="ㅇ"/>
    <s v="ㅇ"/>
  </r>
  <r>
    <n v="977"/>
    <x v="980"/>
    <n v="1056"/>
    <x v="12"/>
    <n v="12"/>
    <x v="6"/>
    <x v="980"/>
    <s v="서울시 성북구 회기로5길 142"/>
    <s v="㈜켐스코"/>
    <n v="15"/>
    <n v="43"/>
    <n v="2.8666666666666667"/>
    <n v="1.0776942355889725"/>
    <m/>
    <n v="0"/>
    <n v="0"/>
    <n v="4.2047999999999996"/>
    <m/>
    <s v="-"/>
    <s v="-"/>
    <s v="-"/>
    <s v="-"/>
    <s v="-"/>
    <n v="17520"/>
    <m/>
    <m/>
    <n v="1"/>
    <n v="0.99"/>
    <n v="17344.8"/>
    <n v="0"/>
    <s v="-"/>
    <s v="-"/>
    <s v="-"/>
    <n v="13524"/>
    <n v="21802"/>
    <n v="1.2569761542364282"/>
    <m/>
    <m/>
    <s v="x"/>
    <m/>
    <m/>
    <m/>
    <m/>
    <s v="ㅇ"/>
    <s v="ㅇ"/>
  </r>
  <r>
    <n v="978"/>
    <x v="981"/>
    <n v="1011"/>
    <x v="12"/>
    <n v="12"/>
    <x v="6"/>
    <x v="981"/>
    <s v="서울시 성북구 오패산로 90"/>
    <s v="㈜켐스코"/>
    <n v="45"/>
    <n v="129"/>
    <n v="2.8666666666666667"/>
    <n v="1.0776942355889725"/>
    <m/>
    <n v="0"/>
    <n v="0"/>
    <n v="12.6144"/>
    <m/>
    <s v="-"/>
    <s v="-"/>
    <s v="-"/>
    <s v="-"/>
    <s v="-"/>
    <n v="52560"/>
    <m/>
    <m/>
    <n v="1"/>
    <n v="0.99"/>
    <n v="52034.400000000001"/>
    <n v="0"/>
    <s v="-"/>
    <s v="-"/>
    <s v="-"/>
    <n v="36926"/>
    <n v="54329"/>
    <n v="1.0440977507187552"/>
    <m/>
    <m/>
    <s v="x"/>
    <m/>
    <m/>
    <m/>
    <m/>
    <s v="ㅇ"/>
    <s v="ㅇ"/>
  </r>
  <r>
    <n v="983"/>
    <x v="982"/>
    <n v="1054"/>
    <x v="12"/>
    <n v="12"/>
    <x v="6"/>
    <x v="982"/>
    <s v="구로구 금오로882(천왕동 산19-1)"/>
    <s v="㈜쏠라리버"/>
    <n v="60"/>
    <n v="229"/>
    <n v="3.8166666666666669"/>
    <n v="1.4348370927318295"/>
    <s v="구조물"/>
    <n v="0"/>
    <n v="0"/>
    <n v="16.819199999999999"/>
    <m/>
    <s v="-"/>
    <s v="-"/>
    <s v="-"/>
    <s v="-"/>
    <s v="-"/>
    <n v="70080"/>
    <m/>
    <m/>
    <n v="1"/>
    <n v="0.99"/>
    <n v="69379.199999999997"/>
    <n v="0"/>
    <s v="-"/>
    <s v="-"/>
    <s v="-"/>
    <n v="37180"/>
    <n v="85501"/>
    <n v="1.232372238365389"/>
    <m/>
    <m/>
    <s v="x"/>
    <m/>
    <m/>
    <m/>
    <m/>
    <s v="ㅇ"/>
    <s v="ㅇ"/>
  </r>
  <r>
    <n v="990"/>
    <x v="983"/>
    <n v="921"/>
    <x v="12"/>
    <n v="1"/>
    <x v="32"/>
    <x v="983"/>
    <s v="서울시 성동구 성수1가 69701 일대"/>
    <s v="㈜대광전기공사"/>
    <n v="73.44"/>
    <n v="169"/>
    <n v="2.30119825708061"/>
    <n v="0.86511212672203375"/>
    <m/>
    <n v="1.8"/>
    <n v="12.254901960784313"/>
    <n v="18.786700799999998"/>
    <m/>
    <s v="-"/>
    <s v="-"/>
    <s v="-"/>
    <n v="0.8"/>
    <n v="1"/>
    <n v="85777.919999999998"/>
    <n v="60"/>
    <n v="-15"/>
    <n v="0.92200000000000004"/>
    <n v="0.99"/>
    <n v="78296.369817600003"/>
    <n v="0"/>
    <s v="-"/>
    <m/>
    <n v="80255"/>
    <n v="51281"/>
    <n v="88562"/>
    <n v="1.1311124667250207"/>
    <m/>
    <m/>
    <s v="x"/>
    <m/>
    <m/>
    <m/>
    <m/>
    <s v="x"/>
    <s v="x"/>
  </r>
  <r>
    <n v="991"/>
    <x v="984"/>
    <n v="918"/>
    <x v="12"/>
    <n v="1"/>
    <x v="32"/>
    <x v="984"/>
    <s v="서울시 성동구 성수2가 623 일대"/>
    <s v="㈜대광전기공사"/>
    <n v="146.88"/>
    <n v="337"/>
    <n v="2.2943899782135078"/>
    <n v="0.86255262338853667"/>
    <m/>
    <n v="1.8"/>
    <n v="6.1274509803921564"/>
    <n v="39.373401600000001"/>
    <m/>
    <s v="-"/>
    <s v="-"/>
    <s v="-"/>
    <n v="0.8"/>
    <n v="1"/>
    <n v="171555.84"/>
    <n v="60"/>
    <n v="-20"/>
    <n v="0.91500000000000004"/>
    <n v="0.99"/>
    <n v="155403.85766400001"/>
    <n v="0"/>
    <s v="-"/>
    <m/>
    <n v="149766"/>
    <n v="96983"/>
    <n v="170329"/>
    <n v="1.0960410028447927"/>
    <m/>
    <m/>
    <s v="x"/>
    <m/>
    <m/>
    <m/>
    <m/>
    <s v="x"/>
    <s v="x"/>
  </r>
  <r>
    <n v="989"/>
    <x v="985"/>
    <n v="919"/>
    <x v="12"/>
    <n v="2"/>
    <x v="32"/>
    <x v="985"/>
    <s v="서울시 강서구 개화동로8길 19"/>
    <s v="㈜비츠로시스"/>
    <n v="184.32"/>
    <n v="348"/>
    <n v="1.8880208333333335"/>
    <n v="0.70978226817042611"/>
    <m/>
    <n v="1.71"/>
    <n v="4.638671875"/>
    <n v="49.958582399999997"/>
    <m/>
    <s v="-"/>
    <s v="-"/>
    <s v="-"/>
    <n v="0.75"/>
    <n v="0.96"/>
    <n v="215285.75999999998"/>
    <n v="0"/>
    <n v="0"/>
    <n v="0.88400000000000001"/>
    <n v="0.99"/>
    <n v="188409.48572159998"/>
    <n v="0"/>
    <s v="-"/>
    <m/>
    <n v="216560"/>
    <n v="161661"/>
    <n v="256073"/>
    <n v="1.3591300831762889"/>
    <m/>
    <m/>
    <s v="x"/>
    <m/>
    <m/>
    <m/>
    <m/>
    <s v="x"/>
    <s v="x"/>
  </r>
  <r>
    <n v="992"/>
    <x v="986"/>
    <n v="997"/>
    <x v="12"/>
    <n v="7"/>
    <x v="102"/>
    <x v="986"/>
    <s v="서울시 광진구 광장동 아차산로 710"/>
    <s v="㈜코텍에너지"/>
    <n v="20.16"/>
    <n v="61.3"/>
    <n v="3.0406746031746028"/>
    <n v="1.1431107530731588"/>
    <s v="구조물"/>
    <n v="0"/>
    <n v="0"/>
    <n v="5.6512511999999999"/>
    <m/>
    <s v="-"/>
    <s v="-"/>
    <s v="-"/>
    <s v="-"/>
    <s v="-"/>
    <n v="23546.880000000001"/>
    <n v="15"/>
    <n v="17"/>
    <n v="0.95899999999999996"/>
    <n v="0.99"/>
    <n v="22355.643340800001"/>
    <n v="0"/>
    <s v="-"/>
    <s v="-"/>
    <n v="9025.86"/>
    <n v="14425.38"/>
    <n v="22404.66"/>
    <n v="1.0021925854896128"/>
    <m/>
    <m/>
    <s v="x"/>
    <m/>
    <m/>
    <m/>
    <m/>
    <s v="ㅇ"/>
    <s v="ㅇ"/>
  </r>
  <r>
    <n v="993"/>
    <x v="987"/>
    <n v="1050"/>
    <x v="12"/>
    <n v="10"/>
    <x v="54"/>
    <x v="987"/>
    <s v="서울시 중구 동호로5길 189"/>
    <s v="에스피브이㈜"/>
    <n v="6"/>
    <n v="15"/>
    <n v="2.5"/>
    <n v="0.93984962406015038"/>
    <m/>
    <n v="0"/>
    <n v="0"/>
    <n v="1.6819200000000003"/>
    <m/>
    <s v="-"/>
    <s v="-"/>
    <s v="-"/>
    <s v="-"/>
    <s v="-"/>
    <n v="7008.0000000000009"/>
    <n v="13"/>
    <n v="0"/>
    <n v="0.95"/>
    <n v="0.99"/>
    <n v="6591.0240000000013"/>
    <n v="0"/>
    <s v="-"/>
    <s v="-"/>
    <n v="1434"/>
    <n v="4976"/>
    <n v="7787"/>
    <n v="1.1814552640075349"/>
    <m/>
    <m/>
    <s v="x"/>
    <m/>
    <m/>
    <m/>
    <m/>
    <s v="ㅇ"/>
    <s v="ㅇ"/>
  </r>
  <r>
    <n v="994"/>
    <x v="988"/>
    <n v="950"/>
    <x v="12"/>
    <n v="11"/>
    <x v="54"/>
    <x v="988"/>
    <s v="서울시 중구 퇴계로 460"/>
    <s v="코텍에너지"/>
    <n v="23.62"/>
    <n v="64"/>
    <n v="2.7095681625740897"/>
    <n v="1.0186346475842443"/>
    <m/>
    <n v="0"/>
    <n v="0"/>
    <n v="6.6211584000000006"/>
    <m/>
    <s v="-"/>
    <s v="-"/>
    <s v="-"/>
    <s v="-"/>
    <s v="-"/>
    <n v="27588.16"/>
    <m/>
    <m/>
    <n v="1"/>
    <n v="0.99"/>
    <n v="27312.278399999999"/>
    <n v="0"/>
    <s v="-"/>
    <s v="-"/>
    <n v="2179"/>
    <n v="15024"/>
    <n v="23421"/>
    <n v="0.85752640834241056"/>
    <m/>
    <m/>
    <s v="x"/>
    <m/>
    <m/>
    <m/>
    <m/>
    <s v="ㅇ"/>
    <s v="ㅇ"/>
  </r>
  <r>
    <n v="996"/>
    <x v="989"/>
    <n v="1025"/>
    <x v="12"/>
    <n v="12"/>
    <x v="34"/>
    <x v="989"/>
    <s v="서울시 용산구 서빙고동 199-3"/>
    <s v="㈜에코스"/>
    <n v="8"/>
    <n v="23"/>
    <n v="2.875"/>
    <n v="1.0808270676691729"/>
    <m/>
    <n v="0"/>
    <n v="0"/>
    <n v="2.2425600000000001"/>
    <m/>
    <s v="-"/>
    <s v="-"/>
    <s v="-"/>
    <s v="-"/>
    <s v="-"/>
    <n v="9344"/>
    <n v="15"/>
    <n v="0"/>
    <n v="0.96399999999999997"/>
    <n v="0.99"/>
    <n v="8917.5398399999995"/>
    <n v="0"/>
    <s v="-"/>
    <s v="-"/>
    <n v="625"/>
    <n v="6515"/>
    <n v="9715"/>
    <n v="1.0894260271676006"/>
    <m/>
    <m/>
    <s v="x"/>
    <m/>
    <m/>
    <m/>
    <m/>
    <s v="ㅇ"/>
    <s v="ㅇ"/>
  </r>
  <r>
    <n v="997"/>
    <x v="990"/>
    <n v="987"/>
    <x v="12"/>
    <n v="4"/>
    <x v="55"/>
    <x v="990"/>
    <s v="성동구 독서당로63길 85 대현산공원관리사무실"/>
    <s v="(주)코텍에너지"/>
    <n v="7"/>
    <n v="22"/>
    <n v="3.1428571428571428"/>
    <n v="1.1815252416756175"/>
    <s v="구조물"/>
    <n v="0"/>
    <n v="0"/>
    <n v="1.9622400000000002"/>
    <m/>
    <s v="-"/>
    <s v="-"/>
    <s v="-"/>
    <s v="-"/>
    <s v="-"/>
    <n v="8176.0000000000009"/>
    <m/>
    <m/>
    <n v="1"/>
    <n v="0.99"/>
    <n v="8094.2400000000007"/>
    <n v="0"/>
    <s v="-"/>
    <s v="-"/>
    <n v="6432"/>
    <n v="3739"/>
    <n v="7740"/>
    <n v="0.95623554527664112"/>
    <m/>
    <m/>
    <s v="x"/>
    <m/>
    <m/>
    <m/>
    <m/>
    <s v="ㅇ"/>
    <s v="ㅇ"/>
  </r>
  <r>
    <n v="998"/>
    <x v="991"/>
    <n v="978"/>
    <x v="12"/>
    <n v="4"/>
    <x v="55"/>
    <x v="991"/>
    <s v="성동구 독서당로60길 1301 암벽관리사무소"/>
    <s v="㈜코텍에너지"/>
    <n v="6"/>
    <n v="27"/>
    <n v="4.5"/>
    <n v="1.6917293233082706"/>
    <s v="구조물"/>
    <n v="0"/>
    <n v="0"/>
    <n v="1.6819200000000003"/>
    <m/>
    <s v="-"/>
    <s v="-"/>
    <s v="-"/>
    <s v="-"/>
    <s v="-"/>
    <n v="7008.0000000000009"/>
    <m/>
    <m/>
    <n v="1"/>
    <n v="0.99"/>
    <n v="6937.920000000001"/>
    <n v="0"/>
    <s v="-"/>
    <s v="-"/>
    <n v="5213"/>
    <n v="4006"/>
    <n v="6523"/>
    <n v="0.94019533231861985"/>
    <m/>
    <m/>
    <s v="x"/>
    <m/>
    <m/>
    <m/>
    <m/>
    <s v="ㅇ"/>
    <s v="ㅇ"/>
  </r>
  <r>
    <n v="999"/>
    <x v="992"/>
    <n v="952"/>
    <x v="12"/>
    <n v="6"/>
    <x v="55"/>
    <x v="992"/>
    <s v="서울시 성동구 광나루로 104 (성수동1가)"/>
    <s v="에이컴에너지㈜"/>
    <n v="22"/>
    <n v="61.8"/>
    <n v="2.8090909090909091"/>
    <n v="1.0560492139439508"/>
    <m/>
    <n v="0"/>
    <n v="0"/>
    <n v="6.167040000000001"/>
    <m/>
    <s v="-"/>
    <s v="-"/>
    <s v="-"/>
    <s v="-"/>
    <s v="-"/>
    <n v="25696.000000000004"/>
    <n v="30"/>
    <n v="-20"/>
    <n v="0.99"/>
    <n v="0.99"/>
    <n v="25414"/>
    <n v="0"/>
    <s v="-"/>
    <s v="-"/>
    <n v="10050"/>
    <n v="6687"/>
    <n v="22040"/>
    <n v="0.86723852994412531"/>
    <m/>
    <m/>
    <s v="x"/>
    <m/>
    <m/>
    <m/>
    <m/>
    <s v="ㅇ"/>
    <s v="ㅇ"/>
  </r>
  <r>
    <n v="1001"/>
    <x v="993"/>
    <n v="958"/>
    <x v="12"/>
    <n v="8"/>
    <x v="55"/>
    <x v="993"/>
    <s v="서울시 성동구 매봉18길 125 (금호동2가)"/>
    <s v="㈜한국스카다"/>
    <n v="15.6"/>
    <n v="47"/>
    <n v="3.0128205128205128"/>
    <n v="1.1326392905340272"/>
    <s v="구조물"/>
    <n v="0"/>
    <n v="0"/>
    <n v="4.372992"/>
    <m/>
    <s v="-"/>
    <s v="-"/>
    <s v="-"/>
    <s v="-"/>
    <s v="-"/>
    <n v="18220.8"/>
    <m/>
    <m/>
    <n v="1"/>
    <n v="0.99"/>
    <n v="18038.592000000001"/>
    <n v="0"/>
    <s v="-"/>
    <s v="-"/>
    <n v="6896"/>
    <n v="10451"/>
    <n v="16332"/>
    <n v="0.90539217251546011"/>
    <m/>
    <m/>
    <s v="x"/>
    <m/>
    <m/>
    <m/>
    <m/>
    <s v="ㅇ"/>
    <s v="ㅇ"/>
  </r>
  <r>
    <n v="1000"/>
    <x v="994"/>
    <n v="966"/>
    <x v="12"/>
    <n v="8"/>
    <x v="55"/>
    <x v="994"/>
    <s v="서울시 성동구 성덕정길 115 (성수동2가)"/>
    <s v="㈜한국스카다"/>
    <n v="15.6"/>
    <n v="47"/>
    <n v="3.0128205128205128"/>
    <n v="1.1326392905340272"/>
    <s v="구조물"/>
    <n v="0"/>
    <n v="0"/>
    <n v="4.372992"/>
    <m/>
    <s v="-"/>
    <s v="-"/>
    <s v="-"/>
    <s v="-"/>
    <s v="-"/>
    <n v="18220.8"/>
    <m/>
    <m/>
    <n v="1"/>
    <n v="0.99"/>
    <n v="18038.592000000001"/>
    <n v="0"/>
    <s v="-"/>
    <s v="-"/>
    <n v="8922"/>
    <n v="10700"/>
    <n v="16602.89"/>
    <n v="0.92040941998133774"/>
    <m/>
    <m/>
    <s v="x"/>
    <m/>
    <m/>
    <m/>
    <m/>
    <s v="ㅇ"/>
    <s v="ㅇ"/>
  </r>
  <r>
    <n v="1002"/>
    <x v="995"/>
    <n v="985"/>
    <x v="12"/>
    <n v="8"/>
    <x v="55"/>
    <x v="995"/>
    <s v="서울시 성동구 송정18가길 29"/>
    <s v="㈜한국스카다"/>
    <n v="8"/>
    <n v="27"/>
    <n v="3.375"/>
    <n v="1.268796992481203"/>
    <s v="구조물"/>
    <n v="0"/>
    <n v="0"/>
    <n v="2.2425600000000001"/>
    <m/>
    <s v="-"/>
    <s v="-"/>
    <s v="-"/>
    <s v="-"/>
    <s v="-"/>
    <n v="9344"/>
    <m/>
    <m/>
    <n v="1"/>
    <n v="0.99"/>
    <n v="9250.56"/>
    <n v="0"/>
    <s v="-"/>
    <s v="-"/>
    <n v="3904"/>
    <n v="5710"/>
    <n v="8835"/>
    <n v="0.95507731423827325"/>
    <m/>
    <m/>
    <s v="x"/>
    <m/>
    <m/>
    <m/>
    <m/>
    <s v="ㅇ"/>
    <s v="ㅇ"/>
  </r>
  <r>
    <n v="1004"/>
    <x v="996"/>
    <n v="964"/>
    <x v="12"/>
    <n v="11"/>
    <x v="55"/>
    <x v="996"/>
    <s v="서울시 성동구 둘레길 47-5 (성수동1가)"/>
    <s v="㈜한국스카다"/>
    <n v="12"/>
    <n v="31"/>
    <n v="2.5833333333333335"/>
    <n v="0.97117794486215536"/>
    <m/>
    <n v="0"/>
    <n v="0"/>
    <n v="3.3638400000000006"/>
    <m/>
    <s v="-"/>
    <s v="-"/>
    <s v="-"/>
    <s v="-"/>
    <s v="-"/>
    <n v="14016.000000000002"/>
    <m/>
    <m/>
    <n v="1"/>
    <n v="0.99"/>
    <n v="13875.840000000002"/>
    <n v="0"/>
    <s v="-"/>
    <s v="-"/>
    <n v="2657"/>
    <n v="8299"/>
    <n v="12684"/>
    <n v="0.91410682164106805"/>
    <m/>
    <m/>
    <s v="x"/>
    <m/>
    <m/>
    <m/>
    <m/>
    <s v="ㅇ"/>
    <s v="ㅇ"/>
  </r>
  <r>
    <n v="1003"/>
    <x v="997"/>
    <n v="1028"/>
    <x v="12"/>
    <n v="11"/>
    <x v="55"/>
    <x v="997"/>
    <s v="서울시 성동구 청계천로 546"/>
    <s v="㈜한국스카다"/>
    <n v="5.25"/>
    <n v="13"/>
    <n v="2.4761904761904763"/>
    <n v="0.93089867525957748"/>
    <m/>
    <n v="0"/>
    <n v="0"/>
    <n v="1.4716800000000001"/>
    <m/>
    <s v="-"/>
    <s v="-"/>
    <s v="-"/>
    <s v="-"/>
    <s v="-"/>
    <n v="6132"/>
    <m/>
    <m/>
    <n v="1"/>
    <n v="0.99"/>
    <n v="6070.68"/>
    <n v="0"/>
    <s v="-"/>
    <s v="-"/>
    <n v="1580"/>
    <n v="3697"/>
    <n v="6700"/>
    <n v="1.103665487227131"/>
    <m/>
    <m/>
    <s v="x"/>
    <m/>
    <m/>
    <m/>
    <m/>
    <s v="ㅇ"/>
    <s v="ㅇ"/>
  </r>
  <r>
    <n v="1006"/>
    <x v="998"/>
    <n v="980"/>
    <x v="12"/>
    <n v="11"/>
    <x v="55"/>
    <x v="998"/>
    <s v="서울시 성동구 천호대로78길 9"/>
    <s v="㈜한국스카다"/>
    <n v="9"/>
    <n v="23"/>
    <n v="2.5555555555555554"/>
    <n v="0.96073517126148689"/>
    <m/>
    <n v="0"/>
    <n v="0"/>
    <n v="2.5228799999999998"/>
    <m/>
    <s v="-"/>
    <s v="-"/>
    <s v="-"/>
    <s v="-"/>
    <s v="-"/>
    <n v="10512"/>
    <m/>
    <m/>
    <n v="1"/>
    <n v="0.99"/>
    <n v="10406.879999999999"/>
    <n v="0"/>
    <s v="-"/>
    <s v="-"/>
    <n v="2550"/>
    <n v="6121"/>
    <n v="9816"/>
    <n v="0.94322217609888848"/>
    <m/>
    <m/>
    <s v="x"/>
    <m/>
    <m/>
    <m/>
    <m/>
    <s v="ㅇ"/>
    <s v="ㅇ"/>
  </r>
  <r>
    <n v="1005"/>
    <x v="999"/>
    <n v="947"/>
    <x v="12"/>
    <n v="12"/>
    <x v="55"/>
    <x v="999"/>
    <s v="서울시 성동구 독서당로63길 44"/>
    <s v="㈜지투파워"/>
    <n v="46"/>
    <n v="161.80000000000001"/>
    <n v="3.5173913043478264"/>
    <n v="1.3223275580254985"/>
    <s v="구조물"/>
    <n v="0"/>
    <n v="0"/>
    <n v="12.894720000000001"/>
    <m/>
    <s v="-"/>
    <s v="-"/>
    <s v="-"/>
    <s v="-"/>
    <s v="-"/>
    <n v="53728.000000000007"/>
    <m/>
    <m/>
    <n v="1"/>
    <n v="0.99"/>
    <n v="53190.720000000008"/>
    <n v="0"/>
    <s v="-"/>
    <s v="-"/>
    <s v="-"/>
    <n v="29129"/>
    <n v="45203"/>
    <n v="0.84982869192219979"/>
    <m/>
    <s v="1. 태양광 모듈이 평면으로 설치되어있기때문에 경사각이 있는 태양광 시설에 비해_x000a_ 발전효율이 떨어짐_x000a_2. 6-8월 장마기간이 길어져 발전효율이 평균보다 떨어짐_x000a_3. 코로나로 인한 장기 휴관으로 판넬 먼지청소등의 관리 부족으로 효율 떨어짐"/>
    <s v="x"/>
    <m/>
    <m/>
    <m/>
    <m/>
    <s v="ㅇ"/>
    <s v="ㅇ"/>
  </r>
  <r>
    <n v="1007"/>
    <x v="1000"/>
    <n v="944"/>
    <x v="12"/>
    <n v="7"/>
    <x v="13"/>
    <x v="1000"/>
    <s v="서울 광진구 구의동 광나루로36길 56"/>
    <s v="스카다"/>
    <n v="32"/>
    <n v="126"/>
    <n v="3.9375"/>
    <n v="1.4802631578947367"/>
    <s v="구조물"/>
    <n v="0"/>
    <n v="0"/>
    <n v="8.9702400000000004"/>
    <m/>
    <s v="-"/>
    <s v="-"/>
    <s v="-"/>
    <m/>
    <m/>
    <n v="37376"/>
    <n v="0"/>
    <n v="0"/>
    <n v="0.88400000000000001"/>
    <n v="0.99"/>
    <n v="32709.980160000003"/>
    <n v="0"/>
    <s v="-"/>
    <s v="-"/>
    <n v="11798"/>
    <n v="19358"/>
    <n v="27429"/>
    <n v="0.83855141048180926"/>
    <m/>
    <s v="방위각 180도, 경사각 5도, 건물 구조 상 경사각 낮음"/>
    <s v="x"/>
    <m/>
    <m/>
    <m/>
    <m/>
    <s v="ㅇ"/>
    <s v="ㅇ"/>
  </r>
  <r>
    <n v="1009"/>
    <x v="1001"/>
    <n v="994"/>
    <x v="12"/>
    <n v="10"/>
    <x v="13"/>
    <x v="1001"/>
    <s v="서울 광진구 뚝섬로52길 74(자양동 )"/>
    <s v="㈜한국스카다"/>
    <n v="71.28"/>
    <n v="200"/>
    <n v="2.8058361391694726"/>
    <n v="1.054825616229125"/>
    <m/>
    <n v="0"/>
    <n v="0"/>
    <n v="19.981209600000003"/>
    <m/>
    <s v="-"/>
    <s v="-"/>
    <s v="-"/>
    <s v="-"/>
    <s v="-"/>
    <n v="83255.040000000008"/>
    <m/>
    <m/>
    <n v="1"/>
    <n v="0.99"/>
    <n v="82422.489600000001"/>
    <n v="0"/>
    <s v="-"/>
    <s v="-"/>
    <s v="-"/>
    <s v="(누적) 63,620"/>
    <n v="81568"/>
    <n v="0.98963281012079496"/>
    <m/>
    <m/>
    <s v="x"/>
    <m/>
    <m/>
    <m/>
    <m/>
    <s v="ㅇ"/>
    <s v="ㅇ"/>
  </r>
  <r>
    <n v="1011"/>
    <x v="1002"/>
    <n v="938"/>
    <x v="12"/>
    <n v="12"/>
    <x v="13"/>
    <x v="1002"/>
    <s v="광진구 구의동 214-7"/>
    <s v="㈜다쓰테크"/>
    <n v="9"/>
    <n v="47"/>
    <n v="5.2222222222222223"/>
    <n v="1.9632414369256475"/>
    <s v="BIPV"/>
    <n v="0"/>
    <n v="0"/>
    <n v="2.5228799999999998"/>
    <m/>
    <s v="-"/>
    <s v="-"/>
    <s v="-"/>
    <s v="-"/>
    <s v="-"/>
    <n v="10512"/>
    <m/>
    <m/>
    <n v="1"/>
    <n v="0.99"/>
    <n v="10406.879999999999"/>
    <n v="0"/>
    <s v="-"/>
    <s v="-"/>
    <s v="-"/>
    <n v="4739"/>
    <n v="8107"/>
    <n v="0.77900388973448342"/>
    <s v="BIPV"/>
    <s v="BIPV 태양광 모듈, 디자인 태양광"/>
    <s v="x"/>
    <m/>
    <m/>
    <m/>
    <m/>
    <s v="ㅇ"/>
    <s v="ㅇ"/>
  </r>
  <r>
    <n v="1010"/>
    <x v="1003"/>
    <n v="960"/>
    <x v="12"/>
    <n v="12"/>
    <x v="13"/>
    <x v="1003"/>
    <s v="서울시 광진구 능동 205-1"/>
    <s v="㈜한국스카다"/>
    <n v="27"/>
    <n v="71"/>
    <n v="2.6296296296296298"/>
    <n v="0.9885825675299359"/>
    <m/>
    <n v="0"/>
    <n v="0"/>
    <n v="7.5686400000000011"/>
    <m/>
    <s v="-"/>
    <s v="-"/>
    <s v="-"/>
    <s v="-"/>
    <s v="-"/>
    <n v="31536.000000000004"/>
    <m/>
    <m/>
    <n v="1"/>
    <n v="0.99"/>
    <n v="31220.640000000003"/>
    <n v="0"/>
    <s v="-"/>
    <s v="-"/>
    <n v="2000"/>
    <n v="15420"/>
    <n v="28438"/>
    <n v="0.91087178225686594"/>
    <m/>
    <m/>
    <s v="x"/>
    <m/>
    <m/>
    <m/>
    <m/>
    <s v="ㅇ"/>
    <s v="ㅇ"/>
  </r>
  <r>
    <n v="1013"/>
    <x v="1004"/>
    <n v="629"/>
    <x v="9"/>
    <n v="12"/>
    <x v="13"/>
    <x v="1004"/>
    <s v="광진구 자양번영로 35"/>
    <s v="헥스파워시스템㈜"/>
    <n v="9"/>
    <n v="28"/>
    <n v="3.1111111111111112"/>
    <n v="0.91288471570161711"/>
    <s v="구조물"/>
    <n v="0"/>
    <n v="0"/>
    <n v="6.3071999999999999"/>
    <m/>
    <s v="-"/>
    <s v="-"/>
    <s v="-"/>
    <s v="-"/>
    <s v="-"/>
    <n v="10512"/>
    <m/>
    <m/>
    <n v="1"/>
    <n v="0.97499999999999998"/>
    <n v="10249.199999999999"/>
    <n v="0"/>
    <s v="-"/>
    <s v="-"/>
    <s v="-"/>
    <n v="4525"/>
    <n v="10938"/>
    <n v="1.0672052452874372"/>
    <m/>
    <m/>
    <s v="x"/>
    <m/>
    <m/>
    <m/>
    <m/>
    <s v="ㅇ"/>
    <s v="ㅇ"/>
  </r>
  <r>
    <n v="1008"/>
    <x v="1005"/>
    <n v="1062"/>
    <x v="12"/>
    <n v="7"/>
    <x v="23"/>
    <x v="1005"/>
    <s v="서울 광진구 광장동 구천면로 14"/>
    <s v="(주)삼광산전"/>
    <n v="15"/>
    <n v="107"/>
    <n v="7.1333333333333337"/>
    <n v="2.681704260651629"/>
    <s v="구조물"/>
    <n v="0"/>
    <n v="0"/>
    <n v="4.2047999999999996"/>
    <m/>
    <s v="-"/>
    <s v="-"/>
    <s v="-"/>
    <s v="-"/>
    <s v="-"/>
    <n v="17520"/>
    <m/>
    <m/>
    <n v="1"/>
    <n v="0.99"/>
    <n v="17344.8"/>
    <n v="0"/>
    <s v="-"/>
    <s v="-"/>
    <s v="-"/>
    <n v="14574"/>
    <n v="27313"/>
    <n v="1.5747082699137493"/>
    <m/>
    <m/>
    <s v="x"/>
    <m/>
    <m/>
    <m/>
    <m/>
    <s v="ㅇ"/>
    <s v="ㅇ"/>
  </r>
  <r>
    <n v="1014"/>
    <x v="1006"/>
    <n v="1030"/>
    <x v="12"/>
    <n v="6"/>
    <x v="35"/>
    <x v="1006"/>
    <s v="동대문구 답십리로38길 19 (답십리동 474-6)"/>
    <s v="㈜블루에너지"/>
    <n v="6.48"/>
    <n v="9.4"/>
    <n v="1.4506172839506173"/>
    <n v="0.54534484359045765"/>
    <m/>
    <n v="0"/>
    <n v="0"/>
    <n v="1.8164736000000004"/>
    <m/>
    <s v="-"/>
    <s v="-"/>
    <s v="-"/>
    <s v="-"/>
    <s v="-"/>
    <n v="7568.6400000000012"/>
    <n v="25"/>
    <n v="35"/>
    <n v="0.96199999999999997"/>
    <n v="0.99"/>
    <n v="7208.2213632000012"/>
    <n v="0"/>
    <s v="-"/>
    <s v="-"/>
    <n v="6555"/>
    <n v="5563"/>
    <n v="8036"/>
    <n v="1.1148381265073297"/>
    <m/>
    <m/>
    <s v="x"/>
    <m/>
    <m/>
    <m/>
    <m/>
    <s v="ㅇ"/>
    <s v="ㅇ"/>
  </r>
  <r>
    <n v="1015"/>
    <x v="1007"/>
    <n v="976"/>
    <x v="12"/>
    <n v="4"/>
    <x v="36"/>
    <x v="1007"/>
    <s v="중랑구 신내역로1길 136"/>
    <s v="쏠라리버㈜"/>
    <n v="13.26"/>
    <n v="38"/>
    <n v="2.8657616892911011"/>
    <n v="1.0773540185304891"/>
    <m/>
    <n v="0"/>
    <n v="0"/>
    <n v="3.7170432"/>
    <m/>
    <s v="-"/>
    <s v="-"/>
    <s v="-"/>
    <s v="-"/>
    <s v="-"/>
    <n v="15487.68"/>
    <n v="25"/>
    <n v="20"/>
    <n v="0.98499999999999999"/>
    <n v="0.99"/>
    <n v="15102.811152"/>
    <n v="0"/>
    <s v="-"/>
    <s v="-"/>
    <n v="10395"/>
    <n v="9679"/>
    <n v="14181"/>
    <n v="0.93896426680287737"/>
    <m/>
    <m/>
    <s v="x"/>
    <m/>
    <m/>
    <m/>
    <m/>
    <s v="ㅇ"/>
    <s v="ㅇ"/>
  </r>
  <r>
    <n v="1017"/>
    <x v="1008"/>
    <n v="929"/>
    <x v="12"/>
    <n v="4"/>
    <x v="7"/>
    <x v="1008"/>
    <s v="성북구 솔샘로5길 92"/>
    <s v="㈜비앤엠"/>
    <n v="9"/>
    <n v="23"/>
    <n v="2.5555555555555554"/>
    <n v="0.96073517126148689"/>
    <m/>
    <n v="0.157"/>
    <n v="8.7222222222222214"/>
    <n v="2.3658799999999998"/>
    <m/>
    <s v="-"/>
    <s v="-"/>
    <s v="-"/>
    <s v="-"/>
    <n v="0.157"/>
    <n v="10512"/>
    <m/>
    <m/>
    <n v="1"/>
    <n v="0.99"/>
    <n v="10406.879999999999"/>
    <n v="0"/>
    <s v="-"/>
    <s v="-"/>
    <n v="9271"/>
    <n v="6574"/>
    <n v="11231"/>
    <n v="1.0791899205141215"/>
    <m/>
    <m/>
    <s v="x"/>
    <m/>
    <m/>
    <m/>
    <m/>
    <s v="ㅇ"/>
    <s v="ㅇ"/>
  </r>
  <r>
    <n v="1016"/>
    <x v="1009"/>
    <n v="928"/>
    <x v="12"/>
    <n v="4"/>
    <x v="7"/>
    <x v="1009"/>
    <s v="성북구 하월곡동 77-214"/>
    <s v="LS산전/동양이엔피㈜"/>
    <n v="3.08"/>
    <n v="8"/>
    <n v="2.5974025974025974"/>
    <n v="0.97646714188067563"/>
    <m/>
    <n v="0.157"/>
    <n v="25.487012987012985"/>
    <n v="0.70638560000000006"/>
    <m/>
    <s v="-"/>
    <s v="-"/>
    <s v="-"/>
    <s v="-"/>
    <n v="0.157"/>
    <n v="3597.4400000000005"/>
    <n v="35"/>
    <n v="0"/>
    <n v="1"/>
    <n v="0.99"/>
    <n v="3561.4656000000004"/>
    <n v="0"/>
    <s v="-"/>
    <s v="-"/>
    <n v="2580"/>
    <n v="2622"/>
    <n v="3579"/>
    <n v="1.0049233663804025"/>
    <m/>
    <m/>
    <s v="x"/>
    <m/>
    <m/>
    <m/>
    <m/>
    <s v="ㅇ"/>
    <s v="ㅇ"/>
  </r>
  <r>
    <n v="1019"/>
    <x v="1010"/>
    <n v="1034"/>
    <x v="12"/>
    <n v="11"/>
    <x v="37"/>
    <x v="1010"/>
    <s v="서울시 강북구 덕릉로42길 49 (번동)"/>
    <s v="이에스솔라(주)"/>
    <n v="80.08"/>
    <n v="179"/>
    <n v="2.2352647352647352"/>
    <n v="0.84032508844538911"/>
    <m/>
    <n v="0"/>
    <n v="0"/>
    <n v="22.448025600000005"/>
    <m/>
    <s v="-"/>
    <s v="-"/>
    <s v="-"/>
    <s v="-"/>
    <s v="-"/>
    <n v="93533.440000000017"/>
    <m/>
    <m/>
    <n v="1"/>
    <n v="0.99"/>
    <n v="92598.10560000001"/>
    <n v="0"/>
    <s v="-"/>
    <s v="-"/>
    <n v="12203"/>
    <n v="65140"/>
    <n v="103642.09"/>
    <n v="1.1192679302501842"/>
    <m/>
    <m/>
    <s v="x"/>
    <m/>
    <m/>
    <m/>
    <m/>
    <s v="ㅇ"/>
    <s v="ㅇ"/>
  </r>
  <r>
    <n v="1018"/>
    <x v="1011"/>
    <n v="933"/>
    <x v="12"/>
    <n v="11"/>
    <x v="37"/>
    <x v="1011"/>
    <s v="서울시 강북구 우이동 209-8 우이동 먹거리마을 입구"/>
    <s v="(주)한국스카다"/>
    <n v="10.14"/>
    <n v="20"/>
    <n v="1.972386587771203"/>
    <n v="0.74149871720721916"/>
    <s v="구조물"/>
    <n v="0"/>
    <n v="0"/>
    <n v="2.8424448000000004"/>
    <m/>
    <s v="-"/>
    <s v="-"/>
    <s v="-"/>
    <s v="-"/>
    <s v="-"/>
    <n v="11843.52"/>
    <m/>
    <m/>
    <n v="1"/>
    <n v="0.99"/>
    <n v="11725.084800000001"/>
    <n v="0"/>
    <s v="-"/>
    <s v="-"/>
    <n v="688"/>
    <n v="5650"/>
    <n v="7639"/>
    <n v="0.65150914729418419"/>
    <s v="원인미상"/>
    <s v="인버터 점검 필요"/>
    <s v="x"/>
    <m/>
    <m/>
    <m/>
    <m/>
    <s v="ㅇ"/>
    <s v="ㅇ"/>
  </r>
  <r>
    <n v="1023"/>
    <x v="1012"/>
    <n v="1001"/>
    <x v="12"/>
    <n v="6"/>
    <x v="14"/>
    <x v="1012"/>
    <s v="도봉구 시루봉로15다길 2(방학동)"/>
    <s v="이엔에이치㈜"/>
    <n v="3.12"/>
    <n v="8"/>
    <n v="2.5641025641025639"/>
    <n v="0.96394833236938482"/>
    <m/>
    <n v="0"/>
    <n v="0"/>
    <n v="0.87459840000000011"/>
    <m/>
    <s v="-"/>
    <s v="-"/>
    <s v="-"/>
    <s v="-"/>
    <s v="-"/>
    <n v="3644.1600000000008"/>
    <m/>
    <m/>
    <n v="1"/>
    <n v="0.99"/>
    <n v="3607.7184000000007"/>
    <n v="0"/>
    <s v="-"/>
    <s v="-"/>
    <n v="968"/>
    <n v="1217"/>
    <n v="3654"/>
    <n v="1.0128284957052078"/>
    <m/>
    <m/>
    <s v="x"/>
    <m/>
    <m/>
    <m/>
    <m/>
    <s v="ㅇ"/>
    <s v="ㅇ"/>
  </r>
  <r>
    <n v="1021"/>
    <x v="1013"/>
    <n v="996"/>
    <x v="12"/>
    <n v="12"/>
    <x v="14"/>
    <x v="1013"/>
    <s v="서울시 도봉구 노해로44길 9 (쌍문동)"/>
    <s v="모아이앤씨"/>
    <n v="18"/>
    <n v="42"/>
    <n v="2.3333333333333335"/>
    <n v="0.87719298245614041"/>
    <m/>
    <n v="0"/>
    <n v="0"/>
    <n v="5.0457599999999996"/>
    <m/>
    <s v="-"/>
    <s v="-"/>
    <s v="-"/>
    <s v="-"/>
    <s v="-"/>
    <n v="21024"/>
    <m/>
    <m/>
    <n v="1"/>
    <n v="0.99"/>
    <n v="20813.759999999998"/>
    <n v="0"/>
    <s v="-"/>
    <s v="-"/>
    <n v="1144"/>
    <n v="9792"/>
    <n v="20742"/>
    <n v="0.99655228079885627"/>
    <m/>
    <m/>
    <s v="x"/>
    <m/>
    <m/>
    <m/>
    <m/>
    <s v="ㅇ"/>
    <s v="ㅇ"/>
  </r>
  <r>
    <n v="1020"/>
    <x v="1014"/>
    <n v="953"/>
    <x v="12"/>
    <n v="12"/>
    <x v="14"/>
    <x v="1014"/>
    <s v="서울시 도봉구 우이천로 340 (쌍문동)"/>
    <s v="이앤에이치㈜"/>
    <n v="3.24"/>
    <n v="8"/>
    <n v="2.4691358024691357"/>
    <n v="0.92824654228162995"/>
    <m/>
    <n v="0"/>
    <n v="0"/>
    <n v="0.90823680000000018"/>
    <m/>
    <s v="-"/>
    <s v="-"/>
    <s v="-"/>
    <s v="-"/>
    <s v="-"/>
    <n v="3784.3200000000006"/>
    <m/>
    <m/>
    <n v="1"/>
    <n v="0.99"/>
    <n v="3746.4768000000004"/>
    <n v="0"/>
    <s v="-"/>
    <s v="-"/>
    <n v="568"/>
    <n v="2305"/>
    <n v="3270"/>
    <n v="0.87282003187634838"/>
    <m/>
    <m/>
    <s v="x"/>
    <m/>
    <m/>
    <m/>
    <m/>
    <s v="ㅇ"/>
    <s v="ㅇ"/>
  </r>
  <r>
    <n v="1022"/>
    <x v="1015"/>
    <n v="989"/>
    <x v="12"/>
    <n v="12"/>
    <x v="14"/>
    <x v="1015"/>
    <s v="서울시 도봉구 도봉로136나길 20"/>
    <s v="한국스카다"/>
    <n v="25"/>
    <n v="63"/>
    <n v="2.52"/>
    <n v="0.94736842105263153"/>
    <m/>
    <n v="0"/>
    <n v="0"/>
    <n v="7.008"/>
    <m/>
    <s v="-"/>
    <s v="-"/>
    <s v="-"/>
    <s v="-"/>
    <s v="-"/>
    <n v="29200"/>
    <m/>
    <m/>
    <n v="1"/>
    <n v="0.99"/>
    <n v="28908"/>
    <n v="0"/>
    <s v="-"/>
    <s v="-"/>
    <n v="1478"/>
    <n v="14400"/>
    <n v="28032"/>
    <n v="0.96969696969696972"/>
    <m/>
    <s v="예상발전량에 근접"/>
    <s v="x"/>
    <m/>
    <m/>
    <m/>
    <m/>
    <s v="ㅇ"/>
    <s v="ㅇ"/>
  </r>
  <r>
    <n v="1024"/>
    <x v="1016"/>
    <n v="984"/>
    <x v="12"/>
    <n v="12"/>
    <x v="38"/>
    <x v="1016"/>
    <s v="서울특별시 노원구 상계동 85-33"/>
    <s v="코리아에너텍"/>
    <n v="23.04"/>
    <n v="45"/>
    <n v="1.953125"/>
    <n v="0.73425751879699241"/>
    <m/>
    <n v="0"/>
    <n v="0"/>
    <n v="6.4585727999999998"/>
    <m/>
    <s v="-"/>
    <s v="-"/>
    <s v="-"/>
    <s v="-"/>
    <s v="-"/>
    <n v="26910.719999999998"/>
    <n v="15"/>
    <n v="60"/>
    <n v="0.91900000000000004"/>
    <n v="0.99"/>
    <n v="24483.642163199998"/>
    <n v="0"/>
    <s v="-"/>
    <s v="-"/>
    <s v="-"/>
    <n v="15446"/>
    <n v="25385"/>
    <n v="1.0368146957381521"/>
    <m/>
    <m/>
    <s v="x"/>
    <m/>
    <m/>
    <m/>
    <m/>
    <s v="ㅇ"/>
    <s v="ㅇ"/>
  </r>
  <r>
    <n v="1025"/>
    <x v="1017"/>
    <n v="1061"/>
    <x v="12"/>
    <n v="3"/>
    <x v="39"/>
    <x v="1017"/>
    <s v="은평구 수색로 280"/>
    <s v="두원산업㈜"/>
    <n v="26.645"/>
    <n v="69"/>
    <n v="2.5896040532933009"/>
    <n v="0.97353535838094019"/>
    <m/>
    <n v="0"/>
    <n v="0"/>
    <n v="7.4691264000000013"/>
    <m/>
    <s v="-"/>
    <s v="-"/>
    <s v="-"/>
    <s v="-"/>
    <s v="-"/>
    <n v="31121.360000000004"/>
    <n v="17"/>
    <n v="0"/>
    <n v="0.96399999999999997"/>
    <n v="0.99"/>
    <n v="29700.981129600004"/>
    <n v="0"/>
    <s v="-"/>
    <s v="-"/>
    <n v="22585"/>
    <n v="18415"/>
    <n v="39815"/>
    <n v="1.3405281066732291"/>
    <m/>
    <m/>
    <s v="x"/>
    <m/>
    <m/>
    <m/>
    <m/>
    <s v="ㅇ"/>
    <s v="ㅇ"/>
  </r>
  <r>
    <n v="1028"/>
    <x v="1018"/>
    <n v="1046"/>
    <x v="12"/>
    <n v="5"/>
    <x v="39"/>
    <x v="1018"/>
    <s v="은평구 응암로21가길 5-1"/>
    <s v="에코스"/>
    <n v="10.5"/>
    <n v="31"/>
    <n v="2.9523809523809526"/>
    <n v="1.1099176512710347"/>
    <s v="구조물"/>
    <n v="0"/>
    <n v="0"/>
    <n v="2.9433600000000002"/>
    <m/>
    <s v="-"/>
    <s v="-"/>
    <s v="-"/>
    <s v="-"/>
    <s v="-"/>
    <n v="12264"/>
    <n v="1"/>
    <n v="0"/>
    <n v="0.88400000000000001"/>
    <n v="0.99"/>
    <n v="10732.962240000001"/>
    <n v="0"/>
    <s v="-"/>
    <s v="-"/>
    <n v="58"/>
    <n v="5800"/>
    <n v="12514"/>
    <n v="1.165940932258418"/>
    <m/>
    <m/>
    <s v="x"/>
    <m/>
    <m/>
    <m/>
    <m/>
    <s v="ㅇ"/>
    <s v="ㅇ"/>
  </r>
  <r>
    <n v="1029"/>
    <x v="1019"/>
    <n v="939"/>
    <x v="12"/>
    <n v="5"/>
    <x v="39"/>
    <x v="1019"/>
    <s v="은평구 응암동 114-9"/>
    <s v="헥스파워시스템㈜"/>
    <n v="10.8"/>
    <n v="29"/>
    <n v="2.6851851851851851"/>
    <n v="1.0094681147312725"/>
    <m/>
    <n v="0"/>
    <n v="0"/>
    <n v="3.0274560000000004"/>
    <m/>
    <s v="-"/>
    <s v="-"/>
    <s v="-"/>
    <s v="-"/>
    <s v="-"/>
    <n v="12614.400000000001"/>
    <n v="0"/>
    <n v="10"/>
    <n v="0.88400000000000001"/>
    <n v="0.99"/>
    <n v="11039.618304000001"/>
    <n v="0"/>
    <s v="-"/>
    <s v="-"/>
    <n v="95"/>
    <n v="6011"/>
    <n v="8745"/>
    <n v="0.79214695283725622"/>
    <s v="주변환경 변화에 따른 음영"/>
    <s v="주변 건물로 인한 음영 발생"/>
    <s v="x"/>
    <m/>
    <m/>
    <m/>
    <m/>
    <s v="ㅇ"/>
    <s v="ㅇ"/>
  </r>
  <r>
    <n v="1026"/>
    <x v="1020"/>
    <n v="988"/>
    <x v="12"/>
    <n v="6"/>
    <x v="39"/>
    <x v="1020"/>
    <s v="서울 은평구 서오릉로21길 11-8 (구산동)"/>
    <s v="㈜다쓰테크"/>
    <n v="15.21"/>
    <n v="52"/>
    <n v="3.4188034188034186"/>
    <n v="1.28526444315918"/>
    <s v="구조물"/>
    <n v="0"/>
    <n v="0"/>
    <n v="4.2636672000000004"/>
    <m/>
    <s v="-"/>
    <s v="-"/>
    <s v="-"/>
    <s v="-"/>
    <s v="-"/>
    <n v="17765.280000000002"/>
    <n v="29"/>
    <n v="0"/>
    <n v="0.999"/>
    <n v="0.99"/>
    <n v="17570.0395728"/>
    <n v="0"/>
    <s v="-"/>
    <s v="-"/>
    <n v="10971"/>
    <n v="11505"/>
    <n v="16965"/>
    <n v="0.96556413146976316"/>
    <m/>
    <m/>
    <s v="x"/>
    <m/>
    <m/>
    <m/>
    <m/>
    <s v="ㅇ"/>
    <s v="ㅇ"/>
  </r>
  <r>
    <n v="1027"/>
    <x v="1021"/>
    <n v="1055"/>
    <x v="12"/>
    <n v="6"/>
    <x v="39"/>
    <x v="1021"/>
    <s v="서울시 은평구 연서로3길 14-5"/>
    <s v="㈜다쓰테크"/>
    <n v="6"/>
    <n v="21"/>
    <n v="3.5"/>
    <n v="1.3157894736842104"/>
    <s v="구조물"/>
    <n v="0"/>
    <n v="0"/>
    <n v="1.6819200000000003"/>
    <m/>
    <s v="-"/>
    <s v="-"/>
    <s v="-"/>
    <s v="-"/>
    <s v="-"/>
    <n v="7008.0000000000009"/>
    <n v="29"/>
    <n v="0"/>
    <n v="0.999"/>
    <n v="0.99"/>
    <n v="6930.9820800000007"/>
    <n v="0"/>
    <s v="-"/>
    <s v="-"/>
    <n v="1804"/>
    <n v="5365"/>
    <n v="8581"/>
    <n v="1.2380640868717985"/>
    <m/>
    <m/>
    <s v="x"/>
    <m/>
    <m/>
    <m/>
    <m/>
    <s v="ㅇ"/>
    <s v="ㅇ"/>
  </r>
  <r>
    <n v="1030"/>
    <x v="1022"/>
    <n v="963"/>
    <x v="12"/>
    <n v="2"/>
    <x v="40"/>
    <x v="1022"/>
    <s v="서대문구 남가좌동 385-4"/>
    <s v="㈜에코스"/>
    <n v="10.8"/>
    <n v="31"/>
    <n v="2.8703703703703702"/>
    <n v="1.0790866054023949"/>
    <m/>
    <n v="0"/>
    <n v="0"/>
    <n v="3.0274560000000004"/>
    <m/>
    <s v="-"/>
    <s v="-"/>
    <s v="-"/>
    <s v="-"/>
    <s v="-"/>
    <n v="12614.400000000001"/>
    <m/>
    <m/>
    <n v="1"/>
    <n v="0.99"/>
    <n v="12488.256000000001"/>
    <n v="0"/>
    <s v="-"/>
    <s v="-"/>
    <s v="-"/>
    <n v="5800"/>
    <n v="11414"/>
    <n v="0.9139787012694166"/>
    <m/>
    <m/>
    <s v="x"/>
    <m/>
    <m/>
    <m/>
    <m/>
    <s v="ㅇ"/>
    <s v="ㅇ"/>
  </r>
  <r>
    <n v="1032"/>
    <x v="1023"/>
    <n v="1041"/>
    <x v="12"/>
    <n v="3"/>
    <x v="40"/>
    <x v="1023"/>
    <s v="서울시 서대문구 북가좌동 106-7"/>
    <s v="에코솔라파워텍"/>
    <n v="2.1"/>
    <n v="4"/>
    <n v="1.9047619047619047"/>
    <n v="0.71607590404582877"/>
    <s v="구조물"/>
    <n v="0"/>
    <n v="0"/>
    <n v="0.58867199999999997"/>
    <m/>
    <s v="-"/>
    <s v="-"/>
    <s v="-"/>
    <s v="-"/>
    <s v="-"/>
    <n v="2452.8000000000002"/>
    <m/>
    <m/>
    <n v="1"/>
    <n v="0.99"/>
    <n v="2428.2719999999999"/>
    <n v="0"/>
    <s v="-"/>
    <s v="-"/>
    <s v="-"/>
    <n v="2450"/>
    <n v="2800"/>
    <n v="1.1530833448641669"/>
    <m/>
    <m/>
    <s v="x"/>
    <m/>
    <m/>
    <m/>
    <m/>
    <s v="ㅇ"/>
    <s v="ㅇ"/>
  </r>
  <r>
    <n v="1031"/>
    <x v="1024"/>
    <n v="948"/>
    <x v="12"/>
    <n v="11"/>
    <x v="40"/>
    <x v="1024"/>
    <s v="서울 서대문구 연희로11마길 86-47 (연희동)"/>
    <s v="㈜애코스"/>
    <n v="46"/>
    <n v="145.5"/>
    <n v="3.1630434782608696"/>
    <n v="1.1891140895717554"/>
    <s v="구조물"/>
    <n v="0"/>
    <n v="0"/>
    <n v="12.894720000000001"/>
    <m/>
    <s v="-"/>
    <s v="-"/>
    <s v="-"/>
    <s v="-"/>
    <s v="-"/>
    <n v="53728.000000000007"/>
    <m/>
    <m/>
    <n v="1"/>
    <n v="0.99"/>
    <n v="53190.720000000008"/>
    <n v="0"/>
    <s v="-"/>
    <s v="-"/>
    <s v="-"/>
    <s v="42,090(누적)"/>
    <n v="45297"/>
    <n v="0.8515959174833504"/>
    <m/>
    <s v="11월 최근 모니터링 시스템 등록으로 8~10 발전량 누락"/>
    <s v="x"/>
    <m/>
    <m/>
    <m/>
    <m/>
    <s v="ㅇ"/>
    <s v="ㅇ"/>
  </r>
  <r>
    <n v="1041"/>
    <x v="1025"/>
    <n v="1014"/>
    <x v="12"/>
    <n v="6"/>
    <x v="15"/>
    <x v="1025"/>
    <s v="마포구 월드컵북로 494"/>
    <s v="㈜모아이엔씨"/>
    <n v="47"/>
    <n v="133"/>
    <n v="2.8297872340425534"/>
    <n v="1.0638297872340425"/>
    <m/>
    <n v="0"/>
    <n v="0"/>
    <n v="13.175039999999999"/>
    <m/>
    <s v="-"/>
    <s v="-"/>
    <s v="-"/>
    <s v="-"/>
    <s v="-"/>
    <n v="54896"/>
    <m/>
    <m/>
    <n v="1"/>
    <n v="0.99"/>
    <n v="54347.040000000001"/>
    <n v="0"/>
    <s v="-"/>
    <s v="-"/>
    <n v="18062"/>
    <n v="37177"/>
    <n v="57481.01"/>
    <n v="1.0576658820793183"/>
    <m/>
    <m/>
    <s v="x"/>
    <m/>
    <m/>
    <m/>
    <m/>
    <s v="ㅇ"/>
    <s v="ㅇ"/>
  </r>
  <r>
    <n v="1033"/>
    <x v="1026"/>
    <n v="986"/>
    <x v="12"/>
    <n v="12"/>
    <x v="15"/>
    <x v="1026"/>
    <s v="마포구 만리재로16길 20-8"/>
    <s v="㈜모아이엔씨"/>
    <n v="2.25"/>
    <n v="10"/>
    <n v="4.4444444444444446"/>
    <n v="1.6708437761069339"/>
    <s v="구조물"/>
    <n v="0"/>
    <n v="0"/>
    <n v="0.63071999999999995"/>
    <m/>
    <s v="-"/>
    <s v="-"/>
    <s v="-"/>
    <s v="-"/>
    <s v="-"/>
    <n v="2628"/>
    <m/>
    <m/>
    <n v="1"/>
    <n v="0.99"/>
    <n v="2601.7199999999998"/>
    <n v="0"/>
    <s v="-"/>
    <s v="-"/>
    <s v="-"/>
    <n v="1855"/>
    <n v="2485"/>
    <n v="0.95513737066248494"/>
    <m/>
    <m/>
    <s v="x"/>
    <m/>
    <m/>
    <m/>
    <m/>
    <s v="ㅇ"/>
    <s v="ㅇ"/>
  </r>
  <r>
    <n v="1035"/>
    <x v="1027"/>
    <n v="968"/>
    <x v="12"/>
    <n v="12"/>
    <x v="15"/>
    <x v="1027"/>
    <s v="마포구 월드컵북로50길 7-5"/>
    <s v="㈜모아이엔씨"/>
    <n v="3"/>
    <n v="10"/>
    <n v="3.3333333333333335"/>
    <n v="1.2531328320802004"/>
    <s v="구조물"/>
    <n v="0"/>
    <n v="0"/>
    <n v="0.84096000000000015"/>
    <m/>
    <s v="-"/>
    <s v="-"/>
    <s v="-"/>
    <s v="-"/>
    <s v="-"/>
    <n v="3504.0000000000005"/>
    <m/>
    <m/>
    <n v="1"/>
    <n v="0.99"/>
    <n v="3468.9600000000005"/>
    <n v="0"/>
    <s v="-"/>
    <s v="-"/>
    <s v="-"/>
    <n v="2131"/>
    <n v="3195"/>
    <n v="0.92102532171025309"/>
    <m/>
    <m/>
    <s v="x"/>
    <m/>
    <m/>
    <m/>
    <m/>
    <s v="ㅇ"/>
    <s v="ㅇ"/>
  </r>
  <r>
    <n v="1037"/>
    <x v="1028"/>
    <n v="954"/>
    <x v="12"/>
    <n v="12"/>
    <x v="15"/>
    <x v="1028"/>
    <s v="마포구 와우산로30길 79"/>
    <s v="㈜모아이엔씨"/>
    <n v="3"/>
    <n v="10"/>
    <n v="3.3333333333333335"/>
    <n v="1.2531328320802004"/>
    <s v="구조물"/>
    <n v="0"/>
    <n v="0"/>
    <n v="0.84096000000000015"/>
    <m/>
    <s v="-"/>
    <s v="-"/>
    <s v="-"/>
    <s v="-"/>
    <s v="-"/>
    <n v="3504.0000000000005"/>
    <m/>
    <m/>
    <n v="1"/>
    <n v="0.99"/>
    <n v="3468.9600000000005"/>
    <n v="0"/>
    <s v="-"/>
    <s v="-"/>
    <s v="-"/>
    <n v="1774"/>
    <n v="3041"/>
    <n v="0.87663161293298264"/>
    <m/>
    <s v="주변 고층건물 영향"/>
    <s v="x"/>
    <m/>
    <m/>
    <m/>
    <m/>
    <s v="ㅇ"/>
    <s v="ㅇ"/>
  </r>
  <r>
    <n v="1038"/>
    <x v="1029"/>
    <n v="945"/>
    <x v="12"/>
    <n v="12"/>
    <x v="15"/>
    <x v="1029"/>
    <s v="마포구 희우정로15길 25-9"/>
    <s v="㈜모아이엔씨"/>
    <n v="3"/>
    <n v="10"/>
    <n v="3.3333333333333335"/>
    <n v="1.2531328320802004"/>
    <s v="구조물"/>
    <n v="0"/>
    <n v="0"/>
    <n v="0.84096000000000015"/>
    <m/>
    <s v="-"/>
    <s v="-"/>
    <s v="-"/>
    <s v="-"/>
    <s v="-"/>
    <n v="3504.0000000000005"/>
    <m/>
    <m/>
    <n v="1"/>
    <n v="0.99"/>
    <n v="3468.9600000000005"/>
    <n v="0"/>
    <s v="-"/>
    <s v="-"/>
    <s v="-"/>
    <n v="1853"/>
    <n v="2927"/>
    <n v="0.84376873760435389"/>
    <m/>
    <s v="주변 고층건물 영향"/>
    <s v="x"/>
    <m/>
    <m/>
    <m/>
    <m/>
    <s v="ㅇ"/>
    <s v="ㅇ"/>
  </r>
  <r>
    <n v="1040"/>
    <x v="1030"/>
    <n v="951"/>
    <x v="12"/>
    <n v="12"/>
    <x v="15"/>
    <x v="1030"/>
    <s v="마포구 성산동 445"/>
    <s v="㈜모아이엔씨"/>
    <n v="48.6"/>
    <n v="100"/>
    <n v="2.0576131687242798"/>
    <n v="0.77353878523469166"/>
    <m/>
    <n v="0"/>
    <n v="0"/>
    <n v="13.623552"/>
    <m/>
    <s v="-"/>
    <s v="-"/>
    <s v="-"/>
    <s v="-"/>
    <s v="-"/>
    <n v="56764.800000000003"/>
    <m/>
    <m/>
    <n v="1"/>
    <n v="0.99"/>
    <n v="56197.152000000002"/>
    <n v="0"/>
    <s v="-"/>
    <s v="-"/>
    <n v="25620"/>
    <n v="32655"/>
    <n v="48714"/>
    <n v="0.86684108119927494"/>
    <m/>
    <s v="주변 고층건물 영향"/>
    <s v="x"/>
    <m/>
    <m/>
    <m/>
    <m/>
    <s v="ㅇ"/>
    <s v="ㅇ"/>
  </r>
  <r>
    <n v="1039"/>
    <x v="1031"/>
    <n v="943"/>
    <x v="12"/>
    <n v="12"/>
    <x v="15"/>
    <x v="1031"/>
    <s v="마포구 신촌로 210"/>
    <s v="㈜모아이엔씨"/>
    <n v="3"/>
    <n v="10"/>
    <n v="3.3333333333333335"/>
    <n v="1.2531328320802004"/>
    <s v="구조물"/>
    <n v="0"/>
    <n v="0"/>
    <n v="0.84096000000000015"/>
    <m/>
    <s v="-"/>
    <s v="-"/>
    <s v="-"/>
    <s v="-"/>
    <s v="-"/>
    <n v="3504.0000000000005"/>
    <m/>
    <m/>
    <n v="1"/>
    <n v="0.99"/>
    <n v="3468.9600000000005"/>
    <n v="0"/>
    <s v="-"/>
    <s v="-"/>
    <s v="-"/>
    <n v="1689"/>
    <n v="2895"/>
    <n v="0.83454407084544058"/>
    <m/>
    <s v="주변 고층건물 영향"/>
    <s v="x"/>
    <m/>
    <m/>
    <m/>
    <m/>
    <s v="ㅇ"/>
    <s v="ㅇ"/>
  </r>
  <r>
    <n v="1034"/>
    <x v="1032"/>
    <n v="1010"/>
    <x v="12"/>
    <n v="12"/>
    <x v="15"/>
    <x v="1032"/>
    <s v="마포구 연남로11길 3"/>
    <s v="㈜모아이엔씨"/>
    <n v="3.75"/>
    <n v="10"/>
    <n v="2.6666666666666665"/>
    <n v="1.0025062656641603"/>
    <s v="구조물"/>
    <n v="0"/>
    <n v="0"/>
    <n v="1.0511999999999999"/>
    <m/>
    <s v="-"/>
    <s v="-"/>
    <s v="-"/>
    <s v="-"/>
    <s v="-"/>
    <n v="4380"/>
    <m/>
    <m/>
    <n v="1"/>
    <n v="0.99"/>
    <n v="4336.2"/>
    <n v="0"/>
    <s v="-"/>
    <s v="-"/>
    <s v="-"/>
    <n v="2014"/>
    <n v="4514"/>
    <n v="1.0410036437433698"/>
    <m/>
    <m/>
    <s v="x"/>
    <m/>
    <m/>
    <m/>
    <m/>
    <s v="ㅇ"/>
    <s v="ㅇ"/>
  </r>
  <r>
    <n v="1036"/>
    <x v="1033"/>
    <n v="955"/>
    <x v="12"/>
    <n v="12"/>
    <x v="15"/>
    <x v="1033"/>
    <s v="마포구 월드컵북로38가길 8-1"/>
    <s v="㈜모아이엔씨"/>
    <n v="3"/>
    <n v="10"/>
    <n v="3.3333333333333335"/>
    <n v="1.2531328320802004"/>
    <s v="구조물"/>
    <n v="0"/>
    <n v="0"/>
    <n v="0.84096000000000015"/>
    <m/>
    <s v="-"/>
    <s v="-"/>
    <s v="-"/>
    <s v="-"/>
    <s v="-"/>
    <n v="3504.0000000000005"/>
    <m/>
    <m/>
    <n v="1"/>
    <n v="0.99"/>
    <n v="3468.9600000000005"/>
    <n v="0"/>
    <s v="-"/>
    <s v="-"/>
    <s v="-"/>
    <n v="1725"/>
    <n v="3127"/>
    <n v="0.90142290484756227"/>
    <m/>
    <s v="양호"/>
    <s v="x"/>
    <m/>
    <m/>
    <m/>
    <m/>
    <s v="ㅇ"/>
    <s v="ㅇ"/>
  </r>
  <r>
    <n v="1043"/>
    <x v="1034"/>
    <n v="967"/>
    <x v="12"/>
    <n v="6"/>
    <x v="56"/>
    <x v="1034"/>
    <s v="서울 양천구 가로공원로60가길 16"/>
    <s v="㈜에너솔라"/>
    <n v="40"/>
    <n v="125"/>
    <n v="3.125"/>
    <n v="1.1748120300751879"/>
    <s v="구조물"/>
    <n v="0"/>
    <n v="0"/>
    <n v="11.2128"/>
    <m/>
    <s v="-"/>
    <s v="-"/>
    <s v="-"/>
    <s v="-"/>
    <s v="-"/>
    <n v="46720"/>
    <m/>
    <m/>
    <n v="1"/>
    <n v="0.99"/>
    <n v="46252.800000000003"/>
    <n v="0"/>
    <s v="-"/>
    <s v="-"/>
    <s v="-"/>
    <s v="(누적)58399"/>
    <n v="42590"/>
    <n v="0.92080911858309111"/>
    <m/>
    <m/>
    <s v="x"/>
    <m/>
    <m/>
    <m/>
    <m/>
    <s v="ㅇ"/>
    <s v="ㅇ"/>
  </r>
  <r>
    <n v="1042"/>
    <x v="1035"/>
    <n v="974"/>
    <x v="12"/>
    <n v="6"/>
    <x v="56"/>
    <x v="1035"/>
    <s v="서울시 양천구 목동로3길 106"/>
    <s v="㈜지엔피"/>
    <n v="25"/>
    <n v="66.400000000000006"/>
    <n v="2.6560000000000001"/>
    <n v="0.99849624060150377"/>
    <m/>
    <n v="0"/>
    <n v="0"/>
    <n v="7.008"/>
    <m/>
    <s v="-"/>
    <s v="-"/>
    <s v="-"/>
    <s v="-"/>
    <s v="-"/>
    <n v="29200"/>
    <m/>
    <m/>
    <n v="1"/>
    <n v="0.99"/>
    <n v="28908"/>
    <n v="0"/>
    <s v="-"/>
    <s v="-"/>
    <n v="16800"/>
    <n v="16668"/>
    <n v="27064"/>
    <n v="0.93621142936211432"/>
    <m/>
    <m/>
    <s v="x"/>
    <m/>
    <m/>
    <m/>
    <m/>
    <s v="ㅇ"/>
    <s v="ㅇ"/>
  </r>
  <r>
    <n v="1045"/>
    <x v="1036"/>
    <n v="983"/>
    <x v="12"/>
    <n v="8"/>
    <x v="65"/>
    <x v="1036"/>
    <s v="마곡동 양천로 251"/>
    <s v="㈜이맥스시스템"/>
    <n v="36.630000000000003"/>
    <n v="95"/>
    <n v="2.5935025935025933"/>
    <n v="0.97500097500097482"/>
    <m/>
    <n v="0"/>
    <n v="0"/>
    <n v="10.268121600000001"/>
    <m/>
    <m/>
    <m/>
    <m/>
    <m/>
    <m/>
    <n v="42783.840000000004"/>
    <n v="30"/>
    <n v="0"/>
    <n v="0.999"/>
    <n v="0.99"/>
    <n v="42313.645598399999"/>
    <n v="0"/>
    <s v="-"/>
    <s v="-"/>
    <n v="21018"/>
    <n v="24523"/>
    <n v="40053"/>
    <n v="0.94657407636638424"/>
    <m/>
    <m/>
    <s v="x"/>
    <m/>
    <m/>
    <m/>
    <m/>
    <s v="ㅇ"/>
    <s v="ㅇ"/>
  </r>
  <r>
    <n v="1046"/>
    <x v="1037"/>
    <n v="975"/>
    <x v="12"/>
    <n v="6"/>
    <x v="16"/>
    <x v="1037"/>
    <s v="구로구 구로동 3"/>
    <s v="에이컴에너지㈜"/>
    <n v="15"/>
    <n v="47"/>
    <n v="3.1333333333333333"/>
    <n v="1.1779448621553883"/>
    <s v="구조물"/>
    <n v="0"/>
    <n v="0"/>
    <n v="4.2047999999999996"/>
    <m/>
    <s v="-"/>
    <s v="-"/>
    <s v="-"/>
    <s v="-"/>
    <s v="-"/>
    <n v="17520"/>
    <m/>
    <m/>
    <n v="1"/>
    <n v="0.99"/>
    <n v="17344.8"/>
    <n v="0"/>
    <s v="-"/>
    <s v="-"/>
    <n v="7460"/>
    <n v="11938"/>
    <n v="16252"/>
    <n v="0.93699552603662195"/>
    <m/>
    <m/>
    <s v="x"/>
    <m/>
    <m/>
    <m/>
    <m/>
    <s v="ㅇ"/>
    <s v="ㅇ"/>
  </r>
  <r>
    <n v="1047"/>
    <x v="1038"/>
    <n v="973"/>
    <x v="12"/>
    <n v="7"/>
    <x v="16"/>
    <x v="1038"/>
    <s v="서울시 구로구 가마산로 245"/>
    <s v="쏠라리버㈜"/>
    <n v="15"/>
    <n v="140"/>
    <n v="9.3333333333333339"/>
    <n v="3.5087719298245617"/>
    <s v="구조물"/>
    <n v="0"/>
    <n v="0"/>
    <n v="4.2047999999999996"/>
    <m/>
    <s v="-"/>
    <s v="-"/>
    <s v="-"/>
    <s v="-"/>
    <s v="-"/>
    <n v="17520"/>
    <n v="35"/>
    <n v="0"/>
    <n v="1"/>
    <n v="0.99"/>
    <n v="17344.8"/>
    <n v="0"/>
    <s v="-"/>
    <s v="-"/>
    <s v="-"/>
    <n v="6570"/>
    <n v="16158"/>
    <n v="0.93157603431576042"/>
    <m/>
    <m/>
    <s v="x"/>
    <m/>
    <m/>
    <m/>
    <m/>
    <s v="ㅇ"/>
    <s v="ㅇ"/>
  </r>
  <r>
    <n v="1048"/>
    <x v="1039"/>
    <n v="1049"/>
    <x v="12"/>
    <n v="7"/>
    <x v="41"/>
    <x v="1039"/>
    <s v="서울 금천구 시흥동 시흥대로51길 93"/>
    <s v="에이컴에너지㈜"/>
    <n v="30.6"/>
    <n v="84"/>
    <n v="2.7450980392156863"/>
    <n v="1.0319917440660473"/>
    <m/>
    <n v="0"/>
    <n v="0"/>
    <n v="8.5777920000000005"/>
    <m/>
    <s v="-"/>
    <s v="-"/>
    <s v="-"/>
    <s v="-"/>
    <s v="-"/>
    <n v="35740.800000000003"/>
    <m/>
    <m/>
    <n v="1"/>
    <n v="0.99"/>
    <n v="35383.392"/>
    <n v="0"/>
    <s v="-"/>
    <s v="-"/>
    <n v="16476"/>
    <n v="26278"/>
    <n v="41446"/>
    <n v="1.1713404978245161"/>
    <m/>
    <m/>
    <s v="x"/>
    <m/>
    <m/>
    <m/>
    <m/>
    <s v="ㅇ"/>
    <s v="ㅇ"/>
  </r>
  <r>
    <n v="1052"/>
    <x v="1040"/>
    <n v="1031"/>
    <x v="12"/>
    <n v="11"/>
    <x v="41"/>
    <x v="1040"/>
    <s v="서울시 금천구"/>
    <s v="㈜무한에너지"/>
    <n v="14"/>
    <n v="23"/>
    <n v="1.6428571428571428"/>
    <n v="0.61761546723952732"/>
    <m/>
    <n v="0"/>
    <n v="0"/>
    <n v="3.9244800000000004"/>
    <m/>
    <s v="-"/>
    <s v="-"/>
    <s v="-"/>
    <s v="-"/>
    <s v="-"/>
    <n v="16352.000000000002"/>
    <m/>
    <m/>
    <n v="1"/>
    <n v="0.99"/>
    <n v="16188.480000000001"/>
    <n v="0"/>
    <s v="-"/>
    <s v="-"/>
    <n v="934"/>
    <n v="13082"/>
    <n v="18060"/>
    <n v="1.1156081361560812"/>
    <m/>
    <m/>
    <s v="x"/>
    <m/>
    <m/>
    <m/>
    <m/>
    <s v="ㅇ"/>
    <s v="ㅇ"/>
  </r>
  <r>
    <n v="1053"/>
    <x v="1041"/>
    <n v="1027"/>
    <x v="12"/>
    <n v="11"/>
    <x v="41"/>
    <x v="1041"/>
    <s v="금천구 문성로7가길 14"/>
    <s v="에이컴에너지㈜"/>
    <n v="3.3"/>
    <n v="7"/>
    <n v="2.1212121212121211"/>
    <n v="0.79744816586921841"/>
    <m/>
    <n v="0"/>
    <n v="0"/>
    <n v="0.92505599999999999"/>
    <m/>
    <s v="-"/>
    <s v="-"/>
    <s v="-"/>
    <s v="-"/>
    <s v="-"/>
    <n v="3854.4"/>
    <m/>
    <m/>
    <n v="1"/>
    <n v="0.99"/>
    <n v="3815.8560000000002"/>
    <n v="0"/>
    <s v="-"/>
    <s v="-"/>
    <n v="241"/>
    <n v="2526"/>
    <n v="4185"/>
    <n v="1.0967394996037585"/>
    <m/>
    <m/>
    <s v="x"/>
    <m/>
    <m/>
    <m/>
    <m/>
    <s v="x"/>
    <s v="ㅇ"/>
  </r>
  <r>
    <n v="1049"/>
    <x v="1042"/>
    <n v="1059"/>
    <x v="12"/>
    <n v="11"/>
    <x v="41"/>
    <x v="1042"/>
    <s v="금천구 시흥동 243-31"/>
    <s v="에이컴에너지㈜"/>
    <n v="3"/>
    <n v="10"/>
    <n v="3.3333333333333335"/>
    <n v="1.2531328320802004"/>
    <s v="구조물"/>
    <n v="0"/>
    <n v="0"/>
    <n v="0.84096000000000015"/>
    <m/>
    <s v="-"/>
    <s v="-"/>
    <s v="-"/>
    <s v="-"/>
    <s v="-"/>
    <n v="3504.0000000000005"/>
    <m/>
    <m/>
    <n v="1"/>
    <n v="0.99"/>
    <n v="3468.9600000000005"/>
    <n v="0"/>
    <s v="-"/>
    <s v="-"/>
    <n v="300"/>
    <n v="2577"/>
    <n v="4412"/>
    <n v="1.2718509293851759"/>
    <m/>
    <m/>
    <s v="x"/>
    <m/>
    <m/>
    <m/>
    <m/>
    <s v="x"/>
    <s v="ㅇ"/>
  </r>
  <r>
    <n v="1054"/>
    <x v="1043"/>
    <n v="956"/>
    <x v="12"/>
    <n v="11"/>
    <x v="41"/>
    <x v="1043"/>
    <s v="금천구 금하로1마길 15-8"/>
    <s v="에이컴에너지㈜"/>
    <n v="3.3"/>
    <n v="7"/>
    <n v="2.1212121212121211"/>
    <n v="0.79744816586921841"/>
    <m/>
    <n v="0"/>
    <n v="0"/>
    <n v="0.92505599999999999"/>
    <m/>
    <s v="-"/>
    <s v="-"/>
    <s v="-"/>
    <s v="-"/>
    <s v="-"/>
    <n v="3854.4"/>
    <m/>
    <m/>
    <n v="1"/>
    <n v="0.99"/>
    <n v="3815.8560000000002"/>
    <n v="0"/>
    <s v="-"/>
    <s v="-"/>
    <n v="202"/>
    <n v="2190"/>
    <n v="3452"/>
    <n v="0.90464629692525078"/>
    <m/>
    <m/>
    <s v="x"/>
    <m/>
    <m/>
    <m/>
    <m/>
    <s v="x"/>
    <s v="ㅇ"/>
  </r>
  <r>
    <n v="1051"/>
    <x v="1044"/>
    <n v="1026"/>
    <x v="12"/>
    <n v="12"/>
    <x v="41"/>
    <x v="1044"/>
    <s v="서울 금천구 시흥동 818-28"/>
    <s v="㈜풍성인더스"/>
    <n v="7.56"/>
    <n v="23"/>
    <n v="3.0423280423280423"/>
    <n v="1.1437323467398655"/>
    <s v="구조물"/>
    <n v="0"/>
    <n v="0"/>
    <n v="2.1192192000000003"/>
    <m/>
    <s v="-"/>
    <s v="-"/>
    <s v="-"/>
    <s v="-"/>
    <s v="-"/>
    <n v="8830.08"/>
    <m/>
    <m/>
    <n v="1"/>
    <n v="0.99"/>
    <n v="8741.779199999999"/>
    <n v="0"/>
    <s v="-"/>
    <s v="-"/>
    <n v="815"/>
    <n v="5701"/>
    <n v="9559"/>
    <n v="1.09348449340839"/>
    <m/>
    <m/>
    <s v="x"/>
    <m/>
    <m/>
    <m/>
    <m/>
    <s v="ㅇ"/>
    <s v="ㅇ"/>
  </r>
  <r>
    <n v="1050"/>
    <x v="1045"/>
    <n v="961"/>
    <x v="12"/>
    <n v="12"/>
    <x v="41"/>
    <x v="1045"/>
    <s v="범안로17길 22"/>
    <s v="㈜풍성인더스"/>
    <n v="12.96"/>
    <n v="52"/>
    <n v="4.0123456790123457"/>
    <n v="1.5084006312076488"/>
    <s v="구조물"/>
    <n v="0"/>
    <n v="0"/>
    <n v="3.6329472000000007"/>
    <m/>
    <s v="-"/>
    <s v="-"/>
    <s v="-"/>
    <s v="-"/>
    <s v="-"/>
    <n v="15137.280000000002"/>
    <m/>
    <m/>
    <n v="1"/>
    <n v="0.99"/>
    <n v="14985.907200000001"/>
    <n v="0"/>
    <s v="-"/>
    <s v="-"/>
    <n v="1107"/>
    <n v="7751"/>
    <n v="13658"/>
    <n v="0.91138960209229103"/>
    <m/>
    <m/>
    <s v="x"/>
    <m/>
    <m/>
    <m/>
    <m/>
    <s v="ㅇ"/>
    <s v="ㅇ"/>
  </r>
  <r>
    <n v="1056"/>
    <x v="1046"/>
    <n v="930"/>
    <x v="12"/>
    <n v="12"/>
    <x v="17"/>
    <x v="1046"/>
    <s v="영등포구 신길로 275"/>
    <s v="이앤에이치㈜"/>
    <n v="8"/>
    <n v="54"/>
    <n v="6.75"/>
    <n v="2.5375939849624061"/>
    <s v="구조물"/>
    <n v="0.13600000000000001"/>
    <n v="8.5"/>
    <n v="2.10656"/>
    <m/>
    <s v="-"/>
    <s v="-"/>
    <s v="-"/>
    <s v="-"/>
    <n v="0.13600000000000001"/>
    <n v="9344"/>
    <n v="0"/>
    <m/>
    <n v="0.88400000000000001"/>
    <n v="0.99"/>
    <n v="8177.4950400000007"/>
    <n v="0"/>
    <s v="-"/>
    <s v="-"/>
    <s v="-"/>
    <s v="(누적)35754"/>
    <n v="6732"/>
    <n v="0.82323498419388819"/>
    <m/>
    <s v="디자인특화 태양광 수평으로 설치되어 효율 낮음"/>
    <s v="x"/>
    <m/>
    <m/>
    <m/>
    <m/>
    <s v="ㅇ"/>
    <s v="ㅇ"/>
  </r>
  <r>
    <n v="1055"/>
    <x v="1047"/>
    <n v="1021"/>
    <x v="12"/>
    <n v="12"/>
    <x v="78"/>
    <x v="1047"/>
    <s v="서울 영등포구 디지털로37나길 21 (대림동)"/>
    <s v="㈜코텍에너지"/>
    <n v="10.36"/>
    <n v="26"/>
    <n v="2.50965250965251"/>
    <n v="0.94347838708740972"/>
    <m/>
    <n v="0"/>
    <n v="0"/>
    <n v="2.9041151999999997"/>
    <m/>
    <s v="-"/>
    <s v="-"/>
    <s v="-"/>
    <s v="-"/>
    <s v="-"/>
    <n v="12100.48"/>
    <m/>
    <m/>
    <n v="1"/>
    <n v="0.99"/>
    <n v="11979.475199999999"/>
    <n v="0"/>
    <s v="-"/>
    <s v="-"/>
    <s v="-"/>
    <n v="8600"/>
    <n v="12988"/>
    <n v="1.0841877280233445"/>
    <m/>
    <s v="관리부서 서울시 주거환경개선과로 변경됨"/>
    <s v="x"/>
    <m/>
    <m/>
    <m/>
    <m/>
    <s v="ㅇ"/>
    <s v="ㅇ"/>
  </r>
  <r>
    <n v="1057"/>
    <x v="1048"/>
    <n v="959"/>
    <x v="12"/>
    <n v="6"/>
    <x v="42"/>
    <x v="1048"/>
    <s v="동작구 성대로 180"/>
    <s v="쏠라리버㈜"/>
    <n v="10.88"/>
    <n v="27"/>
    <n v="2.4816176470588234"/>
    <n v="0.93293896505970797"/>
    <m/>
    <n v="0"/>
    <n v="0"/>
    <n v="3.0498816"/>
    <m/>
    <s v="-"/>
    <s v="-"/>
    <s v="-"/>
    <s v="-"/>
    <s v="-"/>
    <n v="12707.84"/>
    <m/>
    <m/>
    <n v="1"/>
    <n v="0.99"/>
    <n v="12580.7616"/>
    <n v="0"/>
    <s v="-"/>
    <s v="-"/>
    <n v="13182"/>
    <n v="6647"/>
    <n v="11397"/>
    <n v="0.905907000097673"/>
    <m/>
    <m/>
    <s v="x"/>
    <m/>
    <m/>
    <m/>
    <m/>
    <s v="ㅇ"/>
    <s v="ㅇ"/>
  </r>
  <r>
    <s v="누락"/>
    <x v="1049"/>
    <n v="926"/>
    <x v="12"/>
    <n v="12"/>
    <x v="42"/>
    <x v="1049"/>
    <s v="양녕로 27나길 15"/>
    <m/>
    <n v="17.760000000000002"/>
    <n v="47"/>
    <n v="2.6463963963963963"/>
    <n v="0.99488586330691586"/>
    <m/>
    <n v="0.5"/>
    <n v="14.076576576576574"/>
    <n v="4.4784832000000012"/>
    <m/>
    <m/>
    <s v="-"/>
    <s v="-"/>
    <n v="0.2"/>
    <n v="0.3"/>
    <n v="20743.680000000004"/>
    <m/>
    <m/>
    <n v="1"/>
    <n v="0.99"/>
    <n v="20536.243200000004"/>
    <s v="-"/>
    <s v="-"/>
    <m/>
    <m/>
    <m/>
    <n v="22284"/>
    <n v="1.0851059652429513"/>
    <m/>
    <s v="2020.6.5.부터 사용(2020.6.1. 신청사로 이전) 가동기간이 7개월이므로, 7개월간 발전량 12,999kW를 월평균발전량으로 환산, 12개월 발전량으로 추산"/>
    <s v="x"/>
    <m/>
    <m/>
    <m/>
    <m/>
    <s v="ㅇ"/>
    <s v="ㅇ"/>
  </r>
  <r>
    <n v="1059"/>
    <x v="1050"/>
    <n v="979"/>
    <x v="12"/>
    <n v="1"/>
    <x v="18"/>
    <x v="1050"/>
    <s v="관악구 남부순환로 1427"/>
    <s v="㈜한국스카다"/>
    <n v="6.2"/>
    <n v="19"/>
    <n v="3.064516129032258"/>
    <n v="1.1520737327188939"/>
    <s v="구조물"/>
    <n v="0"/>
    <n v="0"/>
    <n v="1.7379840000000002"/>
    <m/>
    <s v="-"/>
    <s v="-"/>
    <s v="-"/>
    <s v="-"/>
    <s v="-"/>
    <n v="7241.6000000000013"/>
    <m/>
    <m/>
    <n v="1"/>
    <n v="0.99"/>
    <n v="7169.1840000000011"/>
    <n v="0"/>
    <s v="-"/>
    <s v="-"/>
    <n v="7792"/>
    <n v="3774"/>
    <n v="6756"/>
    <n v="0.94236666264947289"/>
    <m/>
    <m/>
    <s v="x"/>
    <m/>
    <m/>
    <m/>
    <m/>
    <s v="ㅇ"/>
    <s v="ㅇ"/>
  </r>
  <r>
    <n v="1060"/>
    <x v="1051"/>
    <n v="992"/>
    <x v="12"/>
    <n v="6"/>
    <x v="18"/>
    <x v="1051"/>
    <s v="서울 관악구 신림동 산197-3"/>
    <s v="㈜코텍에너지"/>
    <n v="48.1"/>
    <n v="127"/>
    <n v="2.6403326403326401"/>
    <n v="0.9926062557641504"/>
    <m/>
    <n v="0"/>
    <n v="0"/>
    <n v="13.483392"/>
    <m/>
    <s v="-"/>
    <s v="-"/>
    <s v="-"/>
    <s v="-"/>
    <m/>
    <n v="56180.800000000003"/>
    <n v="3"/>
    <n v="-49"/>
    <n v="0.92"/>
    <n v="0.99"/>
    <n v="51169.472640000007"/>
    <n v="0"/>
    <s v="-"/>
    <s v="-"/>
    <n v="22460"/>
    <n v="42540"/>
    <n v="50210"/>
    <n v="0.98124912002219911"/>
    <m/>
    <m/>
    <s v="x"/>
    <m/>
    <m/>
    <m/>
    <m/>
    <s v="ㅇ"/>
    <s v="ㅇ"/>
  </r>
  <r>
    <n v="1061"/>
    <x v="1052"/>
    <n v="946"/>
    <x v="12"/>
    <n v="10"/>
    <x v="18"/>
    <x v="1052"/>
    <s v="서울 관악구 관악로 145"/>
    <s v="주식회사 에코스"/>
    <n v="3.0449999999999999"/>
    <n v="18"/>
    <n v="5.9113300492610836"/>
    <n v="2.2223045297973996"/>
    <s v="구조물"/>
    <n v="0"/>
    <n v="0"/>
    <n v="0.85357440000000007"/>
    <m/>
    <s v="-"/>
    <s v="-"/>
    <s v="-"/>
    <s v="-"/>
    <s v="-"/>
    <n v="3556.56"/>
    <m/>
    <m/>
    <n v="1"/>
    <n v="0.99"/>
    <n v="3520.9944"/>
    <n v="0"/>
    <s v="-"/>
    <s v="-"/>
    <n v="587"/>
    <n v="2008"/>
    <n v="2992"/>
    <n v="0.84975994281615441"/>
    <m/>
    <s v=" 장마 등으로 발전효율 저하"/>
    <s v="x"/>
    <m/>
    <m/>
    <m/>
    <m/>
    <s v="ㅇ"/>
    <s v="ㅇ"/>
  </r>
  <r>
    <n v="1062"/>
    <x v="1053"/>
    <n v="969"/>
    <x v="12"/>
    <n v="3"/>
    <x v="43"/>
    <x v="1053"/>
    <s v="서초구 서운로26길 3"/>
    <s v="㈜에이씨에스"/>
    <n v="28.718"/>
    <n v="135"/>
    <n v="4.7008844627063162"/>
    <n v="1.7672497980098931"/>
    <s v="구조물"/>
    <n v="0"/>
    <n v="0"/>
    <n v="8.0502297600000006"/>
    <m/>
    <s v="-"/>
    <s v="-"/>
    <s v="-"/>
    <s v="-"/>
    <s v="-"/>
    <n v="33542.624000000003"/>
    <m/>
    <m/>
    <n v="1"/>
    <n v="0.99"/>
    <n v="33207.197760000003"/>
    <n v="0"/>
    <s v="-"/>
    <s v="-"/>
    <n v="26186"/>
    <n v="20783"/>
    <n v="30735"/>
    <n v="0.92555235229821442"/>
    <m/>
    <m/>
    <s v="x"/>
    <m/>
    <m/>
    <m/>
    <m/>
    <s v="ㅇ"/>
    <s v="ㅇ"/>
  </r>
  <r>
    <n v="1063"/>
    <x v="1054"/>
    <n v="1009"/>
    <x v="12"/>
    <n v="11"/>
    <x v="43"/>
    <x v="1054"/>
    <s v="서초구 양재천로 33"/>
    <s v="우성일렉트론"/>
    <n v="22.2"/>
    <n v="102"/>
    <n v="4.5945945945945947"/>
    <n v="1.7272912009754116"/>
    <s v="구조물"/>
    <n v="0"/>
    <n v="0"/>
    <n v="6.2231040000000011"/>
    <m/>
    <s v="-"/>
    <s v="-"/>
    <s v="-"/>
    <s v="-"/>
    <s v="-"/>
    <n v="25929.600000000002"/>
    <n v="33"/>
    <m/>
    <n v="1"/>
    <n v="0.99"/>
    <n v="25670.304000000004"/>
    <n v="0"/>
    <s v="-"/>
    <s v="-"/>
    <n v="1820.5"/>
    <n v="17717.2"/>
    <n v="26651"/>
    <n v="1.0382035210802332"/>
    <m/>
    <m/>
    <s v="x"/>
    <m/>
    <m/>
    <m/>
    <m/>
    <s v="ㅇ"/>
    <s v="ㅇ"/>
  </r>
  <r>
    <n v="1064"/>
    <x v="1055"/>
    <n v="923"/>
    <x v="12"/>
    <n v="10"/>
    <x v="44"/>
    <x v="1055"/>
    <s v="서울 강남구 광평로60길 22 (수서동)"/>
    <s v="에너솔라"/>
    <n v="80.19"/>
    <n v="200"/>
    <n v="2.4940765681506423"/>
    <n v="0.93762276998144445"/>
    <m/>
    <n v="1.44"/>
    <n v="8.978675645342312"/>
    <n v="21.038860799999998"/>
    <s v="안전관리"/>
    <s v="-"/>
    <s v="-"/>
    <s v="-"/>
    <n v="0.72"/>
    <n v="0.72"/>
    <n v="93661.92"/>
    <m/>
    <m/>
    <n v="1"/>
    <n v="0.99"/>
    <n v="92725.300799999997"/>
    <n v="0"/>
    <s v="-"/>
    <s v="-"/>
    <n v="17524"/>
    <n v="74209"/>
    <n v="91453"/>
    <n v="0.98627881722654931"/>
    <m/>
    <m/>
    <s v="x"/>
    <m/>
    <m/>
    <m/>
    <m/>
    <s v="ㅇ"/>
    <s v="ㅇ"/>
  </r>
  <r>
    <n v="1065"/>
    <x v="1056"/>
    <n v="925"/>
    <x v="12"/>
    <n v="12"/>
    <x v="44"/>
    <x v="1056"/>
    <s v="강남구 밤고개로 286"/>
    <s v="다쓰데크㈜"/>
    <n v="15.54"/>
    <n v="80"/>
    <n v="5.1480051480051481"/>
    <n v="1.9353402812049427"/>
    <s v="구조물"/>
    <n v="0.6"/>
    <n v="19.305019305019304"/>
    <n v="3.7561728000000003"/>
    <m/>
    <s v="-"/>
    <s v="-"/>
    <s v="-"/>
    <s v="-"/>
    <n v="0.6"/>
    <n v="18150.72"/>
    <m/>
    <m/>
    <n v="1"/>
    <n v="0.99"/>
    <n v="17969.212800000001"/>
    <n v="0"/>
    <s v="-"/>
    <s v="-"/>
    <s v="-"/>
    <n v="8500"/>
    <n v="17512"/>
    <n v="0.97455576907631691"/>
    <m/>
    <m/>
    <s v="x"/>
    <m/>
    <m/>
    <m/>
    <m/>
    <s v="ㅇ"/>
    <s v="ㅇ"/>
  </r>
  <r>
    <n v="1068"/>
    <x v="1057"/>
    <n v="962"/>
    <x v="12"/>
    <n v="3"/>
    <x v="45"/>
    <x v="1057"/>
    <s v="송파구 올림픽로 8길 22"/>
    <s v="에너솔라"/>
    <n v="22.8"/>
    <n v="77"/>
    <n v="3.3771929824561404"/>
    <n v="1.2696214219759925"/>
    <s v="구조물"/>
    <n v="0"/>
    <n v="0"/>
    <n v="6.3912959999999996"/>
    <m/>
    <s v="-"/>
    <s v="-"/>
    <s v="-"/>
    <s v="-"/>
    <s v="-"/>
    <n v="26630.400000000001"/>
    <n v="5"/>
    <n v="0"/>
    <n v="0.88400000000000001"/>
    <n v="0.99"/>
    <n v="23305.860864000002"/>
    <n v="0"/>
    <s v="-"/>
    <s v="-"/>
    <n v="25509.16"/>
    <n v="18407.580000000002"/>
    <n v="28070"/>
    <n v="1.2044180716516268"/>
    <m/>
    <m/>
    <s v="x"/>
    <m/>
    <m/>
    <m/>
    <m/>
    <s v="ㅇ"/>
    <s v="ㅇ"/>
  </r>
  <r>
    <n v="1066"/>
    <x v="1058"/>
    <n v="920"/>
    <x v="12"/>
    <n v="4"/>
    <x v="45"/>
    <x v="1058"/>
    <s v="송파구 가락동 508"/>
    <s v="쏠라리버㈜"/>
    <n v="25"/>
    <n v="66"/>
    <n v="2.64"/>
    <n v="0.99248120300751874"/>
    <m/>
    <n v="0"/>
    <n v="0"/>
    <n v="7.008"/>
    <m/>
    <s v="-"/>
    <s v="-"/>
    <s v="-"/>
    <s v="-"/>
    <s v="-"/>
    <n v="29200"/>
    <n v="31"/>
    <n v="25"/>
    <n v="0.97499999999999998"/>
    <n v="0.99"/>
    <n v="28185.3"/>
    <n v="0"/>
    <s v="-"/>
    <s v="-"/>
    <n v="25008"/>
    <n v="19471"/>
    <n v="31026"/>
    <n v="1.100786580238635"/>
    <m/>
    <m/>
    <s v="ㅇ"/>
    <s v="인버터"/>
    <n v="0.8"/>
    <n v="1"/>
    <m/>
    <s v="ㅇ"/>
    <s v="ㅇ"/>
  </r>
  <r>
    <n v="1067"/>
    <x v="1059"/>
    <n v="931"/>
    <x v="12"/>
    <n v="8"/>
    <x v="45"/>
    <x v="1059"/>
    <s v="송파구 송파대로42길 29"/>
    <s v="한솔테크닉스㈜"/>
    <n v="6"/>
    <n v="15"/>
    <n v="2.5"/>
    <n v="0.93984962406015038"/>
    <m/>
    <n v="0.12"/>
    <n v="10"/>
    <n v="1.5619200000000002"/>
    <m/>
    <s v="-"/>
    <s v="-"/>
    <s v="-"/>
    <s v="-"/>
    <n v="0.12"/>
    <n v="7008.0000000000009"/>
    <n v="15"/>
    <n v="40"/>
    <n v="0.94399999999999995"/>
    <n v="0.99"/>
    <n v="6549.3964800000003"/>
    <n v="0"/>
    <s v="-"/>
    <s v="-"/>
    <s v="-"/>
    <s v="(누적)4360"/>
    <n v="6977"/>
    <n v="1.0652889959106582"/>
    <m/>
    <m/>
    <s v="x"/>
    <m/>
    <m/>
    <m/>
    <m/>
    <s v="ㅇ"/>
    <s v="ㅇ"/>
  </r>
  <r>
    <n v="1070"/>
    <x v="1060"/>
    <n v="1000"/>
    <x v="12"/>
    <n v="8"/>
    <x v="103"/>
    <x v="1060"/>
    <s v="서울시 강동구 둔촌동 산125번지 일원"/>
    <s v="에이컴에너지㈜"/>
    <n v="105"/>
    <n v="352"/>
    <n v="3.3523809523809525"/>
    <n v="1.2602935911206588"/>
    <s v="구조물"/>
    <n v="0"/>
    <n v="0"/>
    <n v="29.433599999999998"/>
    <m/>
    <s v="-"/>
    <s v="-"/>
    <s v="-"/>
    <s v="-"/>
    <s v="-"/>
    <n v="122640"/>
    <m/>
    <m/>
    <n v="1"/>
    <n v="0.99"/>
    <n v="121413.6"/>
    <n v="0"/>
    <s v="-"/>
    <s v="-"/>
    <n v="44100"/>
    <n v="77175"/>
    <n v="122640"/>
    <n v="1.0101010101010099"/>
    <m/>
    <m/>
    <s v="x"/>
    <m/>
    <m/>
    <m/>
    <m/>
    <s v="ㅇ"/>
    <s v="ㅇ"/>
  </r>
  <r>
    <n v="1071"/>
    <x v="1061"/>
    <n v="1003"/>
    <x v="12"/>
    <n v="9"/>
    <x v="46"/>
    <x v="1061"/>
    <s v="서울 강동구 동남로 870 (상일동)"/>
    <s v="에스피브이㈜"/>
    <n v="37.799999999999997"/>
    <n v="113"/>
    <n v="2.9894179894179898"/>
    <n v="1.1238413494052593"/>
    <s v="구조물"/>
    <n v="0"/>
    <n v="0"/>
    <n v="10.596095999999998"/>
    <m/>
    <s v="-"/>
    <s v="-"/>
    <s v="-"/>
    <s v="-"/>
    <s v="-"/>
    <n v="44150.399999999994"/>
    <m/>
    <m/>
    <n v="1"/>
    <n v="0.99"/>
    <n v="43708.895999999993"/>
    <n v="0"/>
    <s v="-"/>
    <s v="-"/>
    <n v="23237"/>
    <n v="18500"/>
    <n v="44384"/>
    <n v="1.0154454598899045"/>
    <m/>
    <m/>
    <s v="x"/>
    <m/>
    <m/>
    <m/>
    <m/>
    <s v="ㅇ"/>
    <s v="ㅇ"/>
  </r>
  <r>
    <n v="1069"/>
    <x v="1062"/>
    <n v="941"/>
    <x v="12"/>
    <n v="12"/>
    <x v="46"/>
    <x v="1062"/>
    <s v="강동구 강일동 736"/>
    <s v="이앤에이치㈜"/>
    <n v="7.8"/>
    <n v="185"/>
    <n v="23.717948717948719"/>
    <n v="8.916522074416811"/>
    <s v="BIPV"/>
    <n v="0"/>
    <n v="0"/>
    <n v="2.186496"/>
    <m/>
    <s v="-"/>
    <s v="-"/>
    <s v="-"/>
    <s v="-"/>
    <s v="-"/>
    <n v="9110.4"/>
    <n v="3"/>
    <n v="8"/>
    <n v="0.94099999999999995"/>
    <n v="0.99"/>
    <n v="8487.1575359999988"/>
    <n v="0"/>
    <s v="-"/>
    <s v="-"/>
    <n v="911"/>
    <n v="4545"/>
    <n v="7350"/>
    <n v="0.86601432444531468"/>
    <m/>
    <m/>
    <s v="x"/>
    <m/>
    <m/>
    <m/>
    <m/>
    <s v="ㅇ"/>
    <s v="ㅇ"/>
  </r>
  <r>
    <n v="1072"/>
    <x v="1063"/>
    <n v="1071"/>
    <x v="13"/>
    <n v="3"/>
    <x v="92"/>
    <x v="1063"/>
    <s v="광진구 광나루로 571"/>
    <s v="지투파워㈜"/>
    <n v="100.8"/>
    <n v="311"/>
    <n v="3.0853174603174605"/>
    <n v="1.2802147138246722"/>
    <s v="2019년 예산"/>
    <n v="0"/>
    <n v="0"/>
    <n v="14.128128"/>
    <m/>
    <s v="-"/>
    <s v="-"/>
    <s v="-"/>
    <s v="-"/>
    <s v="-"/>
    <n v="117734.39999999999"/>
    <n v="25"/>
    <n v="33"/>
    <n v="0.97499999999999998"/>
    <n v="0.995"/>
    <n v="114217.0848"/>
    <n v="0"/>
    <s v="-"/>
    <s v="-"/>
    <s v="-"/>
    <n v="58948"/>
    <n v="108650"/>
    <n v="0.95125873848252873"/>
    <m/>
    <m/>
    <s v="x"/>
    <m/>
    <m/>
    <m/>
    <m/>
    <s v="ㅇ"/>
    <s v="ㅇ"/>
  </r>
  <r>
    <s v="신규"/>
    <x v="1064"/>
    <n v="1066"/>
    <x v="13"/>
    <n v="2"/>
    <x v="32"/>
    <x v="1064"/>
    <s v="서울시 광진구 광장동 561-2 일대"/>
    <s v="㈜에코스"/>
    <n v="140.4"/>
    <n v="380"/>
    <n v="2.7065527065527064"/>
    <n v="1.1230509155820358"/>
    <m/>
    <n v="0.4"/>
    <n v="2.8490028490028489"/>
    <n v="19.278464000000003"/>
    <m/>
    <s v="-"/>
    <s v="-"/>
    <s v="-"/>
    <s v="-"/>
    <n v="0.4"/>
    <n v="163987.20000000001"/>
    <n v="60"/>
    <n v="40"/>
    <n v="0.92200000000000004"/>
    <n v="0.995"/>
    <n v="150440.21740800003"/>
    <s v="-"/>
    <s v="-"/>
    <m/>
    <m/>
    <m/>
    <n v="82094"/>
    <n v="0.9378191331848722"/>
    <m/>
    <s v="2020년 4월 준공"/>
    <s v="x"/>
    <m/>
    <m/>
    <m/>
    <m/>
    <s v="x"/>
    <s v="x"/>
  </r>
  <r>
    <s v="신규"/>
    <x v="1065"/>
    <n v="1065"/>
    <x v="13"/>
    <n v="7"/>
    <x v="32"/>
    <x v="1065"/>
    <s v="경기도 광명시 옥길동 9 일대"/>
    <s v="신성이엔지"/>
    <n v="612.36"/>
    <n v="819.69799999999998"/>
    <n v="1.3385884120452021"/>
    <n v="0.55543087636730371"/>
    <m/>
    <n v="0.3"/>
    <n v="0.48990789731530465"/>
    <n v="85.528377600000013"/>
    <m/>
    <s v="-"/>
    <s v="-"/>
    <s v="-"/>
    <s v="-"/>
    <n v="0.3"/>
    <n v="715236.4800000001"/>
    <n v="20"/>
    <n v="-2"/>
    <n v="0.97499999999999998"/>
    <n v="0.995"/>
    <n v="693868.79016000009"/>
    <s v="-"/>
    <s v="-"/>
    <m/>
    <m/>
    <m/>
    <n v="315998"/>
    <n v="0.91474066711321811"/>
    <m/>
    <s v="2020년 7월 준공"/>
    <s v="x"/>
    <m/>
    <m/>
    <m/>
    <m/>
    <s v="x"/>
    <s v="ㅇ"/>
  </r>
  <r>
    <s v="신규"/>
    <x v="1066"/>
    <n v="1067"/>
    <x v="13"/>
    <n v="7"/>
    <x v="32"/>
    <x v="1066"/>
    <s v="경기도 성남시 중원구 여수동 226 일대"/>
    <s v="신성이엔지"/>
    <n v="357.21"/>
    <n v="566.00300000000004"/>
    <n v="1.5845105120237397"/>
    <n v="0.6574732415036264"/>
    <m/>
    <n v="0.3"/>
    <n v="0.83984210968337947"/>
    <n v="49.766553599999995"/>
    <m/>
    <s v="-"/>
    <s v="-"/>
    <s v="-"/>
    <s v="-"/>
    <n v="0.3"/>
    <n v="417221.27999999997"/>
    <n v="20"/>
    <n v="3"/>
    <n v="0.97499999999999998"/>
    <n v="0.995"/>
    <n v="404756.79426"/>
    <s v="-"/>
    <s v="-"/>
    <m/>
    <m/>
    <m/>
    <n v="185248"/>
    <n v="0.91632804009648006"/>
    <m/>
    <s v="2020년 7월 준공"/>
    <s v="x"/>
    <m/>
    <m/>
    <m/>
    <m/>
    <s v="x"/>
    <s v="ㅇ"/>
  </r>
  <r>
    <s v="신규"/>
    <x v="1067"/>
    <n v="1064"/>
    <x v="13"/>
    <n v="8"/>
    <x v="32"/>
    <x v="1067"/>
    <s v="서울시 강서구 개화동 287"/>
    <s v="신성이엔지"/>
    <n v="634.23"/>
    <n v="907.09500000000003"/>
    <n v="1.4302303580719928"/>
    <n v="0.59345658011286007"/>
    <m/>
    <n v="0.3"/>
    <n v="0.47301452154581142"/>
    <n v="88.593676799999997"/>
    <m/>
    <s v="-"/>
    <s v="-"/>
    <s v="-"/>
    <s v="-"/>
    <n v="0.3"/>
    <n v="740780.64"/>
    <n v="20"/>
    <n v="6"/>
    <n v="0.97499999999999998"/>
    <n v="0.995"/>
    <n v="718649.81838000007"/>
    <s v="-"/>
    <s v="-"/>
    <m/>
    <m/>
    <m/>
    <n v="281861"/>
    <n v="1.1853353026933802"/>
    <m/>
    <s v="2020년 7월 준공"/>
    <s v="x"/>
    <m/>
    <m/>
    <m/>
    <m/>
    <s v="x"/>
    <s v="ㅇ"/>
  </r>
  <r>
    <n v="1073"/>
    <x v="1068"/>
    <n v="1078"/>
    <x v="13"/>
    <n v="7"/>
    <x v="56"/>
    <x v="1068"/>
    <s v="서울특별시 양천구 신월동1002-18"/>
    <s v="헥스파워시스템㈜"/>
    <n v="43.16"/>
    <n v="104"/>
    <n v="2.4096385542168677"/>
    <n v="0.99985002249662558"/>
    <m/>
    <n v="0"/>
    <n v="0"/>
    <n v="6.0493055999999994"/>
    <m/>
    <s v="-"/>
    <s v="-"/>
    <s v="-"/>
    <s v="-"/>
    <s v="-"/>
    <n v="50410.879999999997"/>
    <m/>
    <m/>
    <n v="1"/>
    <n v="0.995"/>
    <n v="50158.825599999996"/>
    <n v="0"/>
    <s v="-"/>
    <s v="-"/>
    <s v="-"/>
    <n v="8262"/>
    <n v="22632"/>
    <n v="1.3468521081163431"/>
    <m/>
    <s v="2020.7월 준공"/>
    <s v="x"/>
    <m/>
    <m/>
    <m/>
    <m/>
    <s v="ㅇ"/>
    <s v="ㅇ"/>
  </r>
  <r>
    <n v="1074"/>
    <x v="1069"/>
    <n v="1074"/>
    <x v="13"/>
    <n v="6"/>
    <x v="41"/>
    <x v="1069"/>
    <s v=" 금천구 시흥대로 73길 70"/>
    <s v="쏠라리버㈜"/>
    <n v="5"/>
    <n v="13"/>
    <n v="2.6"/>
    <n v="1.0788381742738589"/>
    <m/>
    <n v="0"/>
    <n v="0"/>
    <n v="0.70079999999999998"/>
    <m/>
    <s v="-"/>
    <s v="-"/>
    <s v="-"/>
    <s v="-"/>
    <s v="-"/>
    <n v="5840"/>
    <n v="14"/>
    <n v="21"/>
    <n v="0.95899999999999996"/>
    <n v="0.995"/>
    <n v="5572.5572000000002"/>
    <n v="0"/>
    <s v="-"/>
    <s v="-"/>
    <s v="-"/>
    <n v="344"/>
    <n v="2192"/>
    <n v="1.1800686406592649"/>
    <m/>
    <s v="20.7월 설치"/>
    <s v="x"/>
    <m/>
    <m/>
    <m/>
    <m/>
    <s v="x"/>
    <s v="ㅇ"/>
  </r>
  <r>
    <n v="1075"/>
    <x v="1070"/>
    <n v="1073"/>
    <x v="13"/>
    <n v="6"/>
    <x v="41"/>
    <x v="1070"/>
    <s v=" 금천구 시흥동 921-29"/>
    <s v="쏠라리버㈜"/>
    <n v="3"/>
    <n v="8"/>
    <n v="2.6666666666666665"/>
    <n v="1.1065006915629321"/>
    <s v="구조물"/>
    <n v="0"/>
    <n v="0"/>
    <n v="0.42048000000000008"/>
    <m/>
    <s v="-"/>
    <s v="-"/>
    <s v="-"/>
    <s v="-"/>
    <s v="-"/>
    <n v="3504.0000000000005"/>
    <n v="22"/>
    <n v="-9"/>
    <n v="0.97899999999999998"/>
    <n v="0.995"/>
    <n v="3413.2639200000003"/>
    <n v="0"/>
    <s v="-"/>
    <s v="-"/>
    <s v="-"/>
    <n v="677"/>
    <n v="1814"/>
    <n v="1.2754946883802643"/>
    <m/>
    <s v="20.6월 설치"/>
    <s v="x"/>
    <m/>
    <m/>
    <m/>
    <m/>
    <s v="x"/>
    <s v="ㅇ"/>
  </r>
  <r>
    <n v="1076"/>
    <x v="1071"/>
    <n v="1075"/>
    <x v="13"/>
    <n v="6"/>
    <x v="41"/>
    <x v="1071"/>
    <s v="금천구 시흥대로 138길 10-11"/>
    <s v="쏠라리버㈜"/>
    <n v="5"/>
    <n v="13"/>
    <n v="2.6"/>
    <n v="1.0788381742738589"/>
    <m/>
    <n v="0"/>
    <n v="0"/>
    <n v="0.70079999999999998"/>
    <m/>
    <s v="-"/>
    <s v="-"/>
    <s v="-"/>
    <s v="-"/>
    <s v="-"/>
    <n v="5840"/>
    <n v="25"/>
    <n v="3"/>
    <n v="0.99199999999999999"/>
    <n v="0.995"/>
    <n v="5764.3136000000004"/>
    <n v="0"/>
    <s v="-"/>
    <s v="-"/>
    <s v="-"/>
    <n v="1178"/>
    <n v="4159"/>
    <n v="1.4430165631515954"/>
    <m/>
    <s v="20.6월 설치"/>
    <s v="x"/>
    <m/>
    <m/>
    <m/>
    <m/>
    <s v="x"/>
    <s v="ㅇ"/>
  </r>
  <r>
    <n v="1078"/>
    <x v="1072"/>
    <n v="1068"/>
    <x v="13"/>
    <n v="4"/>
    <x v="18"/>
    <x v="1072"/>
    <s v="관악구 남부순환로149길 34-2 (신림동)"/>
    <s v="지투파워㈜"/>
    <n v="5.18"/>
    <n v="27.5"/>
    <n v="5.3088803088803092"/>
    <n v="2.2028548999503355"/>
    <s v="BIPV"/>
    <n v="0"/>
    <n v="0"/>
    <n v="0.72602879999999992"/>
    <m/>
    <s v="-"/>
    <s v="-"/>
    <s v="-"/>
    <s v="-"/>
    <s v="-"/>
    <n v="6050.24"/>
    <m/>
    <m/>
    <n v="1"/>
    <n v="0.995"/>
    <n v="6019.9888000000001"/>
    <n v="0"/>
    <s v="-"/>
    <s v="-"/>
    <s v="-"/>
    <n v="1810"/>
    <n v="2575"/>
    <n v="1.4323459243011132"/>
    <m/>
    <s v="BIPV 태양광 모듈"/>
    <s v="x"/>
    <m/>
    <m/>
    <m/>
    <m/>
    <s v="ㅇ"/>
    <s v="ㅇ"/>
  </r>
  <r>
    <s v="신규"/>
    <x v="1073"/>
    <n v="1084"/>
    <x v="13"/>
    <n v="10"/>
    <x v="46"/>
    <x v="1073"/>
    <s v="동남로49길 21-8"/>
    <s v="(주)에코스"/>
    <n v="46"/>
    <n v="98"/>
    <n v="2.1304347826086958"/>
    <n v="0.88399783510734264"/>
    <m/>
    <n v="0"/>
    <n v="0"/>
    <n v="6.4473600000000006"/>
    <m/>
    <s v="-"/>
    <s v="-"/>
    <s v="-"/>
    <s v="-"/>
    <s v="-"/>
    <n v="53728.000000000007"/>
    <m/>
    <m/>
    <n v="1"/>
    <n v="0.995"/>
    <n v="53459.360000000008"/>
    <s v="-"/>
    <s v="-"/>
    <s v="-"/>
    <s v="-"/>
    <s v="-"/>
    <n v="12100"/>
    <n v="0.9053606328246353"/>
    <m/>
    <m/>
    <s v="x"/>
    <m/>
    <m/>
    <m/>
    <m/>
    <s v="ㅇ"/>
    <s v="ㅇ"/>
  </r>
  <r>
    <s v="신규"/>
    <x v="1074"/>
    <n v="1069"/>
    <x v="13"/>
    <n v="11"/>
    <x v="46"/>
    <x v="1074"/>
    <s v="강동구 천호대로 1183"/>
    <s v="이에스솔라㈜"/>
    <n v="41.6"/>
    <n v="195.16"/>
    <n v="4.6913461538461538"/>
    <n v="1.9466166613469518"/>
    <s v="BIPV"/>
    <n v="0"/>
    <n v="0"/>
    <n v="5.8306560000000003"/>
    <m/>
    <s v="-"/>
    <s v="-"/>
    <s v="-"/>
    <s v="-"/>
    <s v="-"/>
    <n v="48588.800000000003"/>
    <m/>
    <m/>
    <n v="1"/>
    <n v="0.995"/>
    <n v="48345.856"/>
    <s v="-"/>
    <s v="-"/>
    <s v="-"/>
    <s v="-"/>
    <s v="-"/>
    <n v="4087"/>
    <n v="1.0144406172061573"/>
    <m/>
    <m/>
    <s v="x"/>
    <m/>
    <m/>
    <m/>
    <m/>
    <s v="ㅇ"/>
    <s v="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피벗 테이블1" cacheId="0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3:B17" firstHeaderRow="1" firstDataRow="1" firstDataCol="1"/>
  <pivotFields count="1">
    <pivotField axis="axisRow" dataField="1" showAll="0">
      <items count="14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개수 : ff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1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compact="0" outline="1" outlineData="1" compactData="0" multipleFieldFilters="0">
  <location ref="A3:D204" firstHeaderRow="1" firstDataRow="1" firstDataCol="4"/>
  <pivotFields count="45">
    <pivotField compact="0" showAll="0"/>
    <pivotField axis="axisRow" compact="0" showAll="0">
      <items count="10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m="1" x="1075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923"/>
        <item t="default"/>
      </items>
    </pivotField>
    <pivotField compact="0" showAll="0"/>
    <pivotField axis="axisRow" compact="0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sd="0" x="11"/>
        <item h="1" x="12"/>
        <item h="1" x="13"/>
        <item t="default"/>
      </items>
    </pivotField>
    <pivotField compact="0" showAll="0"/>
    <pivotField axis="axisRow" compact="0" showAll="0">
      <items count="105">
        <item x="72"/>
        <item x="44"/>
        <item x="46"/>
        <item x="103"/>
        <item x="37"/>
        <item x="89"/>
        <item x="65"/>
        <item x="62"/>
        <item x="98"/>
        <item x="86"/>
        <item x="76"/>
        <item x="18"/>
        <item x="91"/>
        <item x="13"/>
        <item x="16"/>
        <item x="92"/>
        <item x="41"/>
        <item x="51"/>
        <item x="101"/>
        <item x="93"/>
        <item x="95"/>
        <item x="38"/>
        <item x="71"/>
        <item x="31"/>
        <item x="10"/>
        <item x="79"/>
        <item x="14"/>
        <item x="20"/>
        <item x="35"/>
        <item x="3"/>
        <item x="63"/>
        <item x="42"/>
        <item x="73"/>
        <item x="99"/>
        <item x="15"/>
        <item x="88"/>
        <item x="48"/>
        <item x="24"/>
        <item x="64"/>
        <item x="77"/>
        <item x="40"/>
        <item x="30"/>
        <item x="28"/>
        <item x="97"/>
        <item x="12"/>
        <item x="84"/>
        <item x="94"/>
        <item x="52"/>
        <item x="68"/>
        <item x="102"/>
        <item x="80"/>
        <item x="50"/>
        <item x="66"/>
        <item x="81"/>
        <item x="5"/>
        <item x="53"/>
        <item x="67"/>
        <item x="32"/>
        <item x="100"/>
        <item x="58"/>
        <item x="6"/>
        <item x="85"/>
        <item x="43"/>
        <item x="55"/>
        <item x="57"/>
        <item x="7"/>
        <item x="49"/>
        <item x="45"/>
        <item x="75"/>
        <item x="4"/>
        <item x="90"/>
        <item x="56"/>
        <item x="8"/>
        <item x="61"/>
        <item x="0"/>
        <item x="19"/>
        <item x="17"/>
        <item x="25"/>
        <item x="34"/>
        <item x="39"/>
        <item x="1"/>
        <item x="9"/>
        <item x="2"/>
        <item x="82"/>
        <item x="21"/>
        <item x="87"/>
        <item x="70"/>
        <item x="69"/>
        <item x="33"/>
        <item x="78"/>
        <item x="60"/>
        <item x="54"/>
        <item x="36"/>
        <item x="11"/>
        <item x="29"/>
        <item x="23"/>
        <item x="27"/>
        <item x="22"/>
        <item x="83"/>
        <item x="47"/>
        <item x="96"/>
        <item x="26"/>
        <item x="74"/>
        <item x="59"/>
        <item t="default"/>
      </items>
    </pivotField>
    <pivotField axis="axisRow" compact="0" showAll="0">
      <items count="1076">
        <item x="763"/>
        <item x="115"/>
        <item x="117"/>
        <item x="661"/>
        <item x="649"/>
        <item x="729"/>
        <item x="202"/>
        <item x="911"/>
        <item x="272"/>
        <item x="876"/>
        <item x="180"/>
        <item x="531"/>
        <item x="522"/>
        <item x="51"/>
        <item x="52"/>
        <item x="521"/>
        <item x="862"/>
        <item x="78"/>
        <item x="225"/>
        <item x="429"/>
        <item x="1055"/>
        <item x="234"/>
        <item x="1056"/>
        <item x="752"/>
        <item x="192"/>
        <item x="909"/>
        <item x="286"/>
        <item x="352"/>
        <item x="353"/>
        <item x="725"/>
        <item x="200"/>
        <item x="432"/>
        <item x="199"/>
        <item x="1061"/>
        <item x="110"/>
        <item x="242"/>
        <item x="996"/>
        <item x="1064"/>
        <item x="219"/>
        <item x="590"/>
        <item x="840"/>
        <item x="683"/>
        <item x="836"/>
        <item x="245"/>
        <item x="685"/>
        <item x="768"/>
        <item x="769"/>
        <item x="944"/>
        <item x="839"/>
        <item x="26"/>
        <item x="47"/>
        <item x="968"/>
        <item x="333"/>
        <item x="523"/>
        <item x="414"/>
        <item x="248"/>
        <item x="946"/>
        <item x="776"/>
        <item x="812"/>
        <item x="927"/>
        <item x="624"/>
        <item x="415"/>
        <item x="551"/>
        <item x="197"/>
        <item x="617"/>
        <item x="181"/>
        <item x="559"/>
        <item x="732"/>
        <item x="365"/>
        <item x="251"/>
        <item x="985"/>
        <item x="452"/>
        <item x="430"/>
        <item x="195"/>
        <item x="397"/>
        <item x="619"/>
        <item x="552"/>
        <item x="553"/>
        <item x="726"/>
        <item x="453"/>
        <item x="727"/>
        <item x="655"/>
        <item x="92"/>
        <item x="18"/>
        <item x="447"/>
        <item x="554"/>
        <item x="701"/>
        <item x="275"/>
        <item x="710"/>
        <item x="1026"/>
        <item x="164"/>
        <item x="936"/>
        <item x="53"/>
        <item x="165"/>
        <item x="163"/>
        <item x="403"/>
        <item x="75"/>
        <item x="695"/>
        <item x="861"/>
        <item x="608"/>
        <item x="524"/>
        <item x="103"/>
        <item x="638"/>
        <item x="1050"/>
        <item x="717"/>
        <item x="20"/>
        <item x="1052"/>
        <item x="137"/>
        <item x="541"/>
        <item x="542"/>
        <item x="972"/>
        <item x="254"/>
        <item x="539"/>
        <item x="903"/>
        <item x="755"/>
        <item x="761"/>
        <item x="344"/>
        <item x="38"/>
        <item x="958"/>
        <item x="771"/>
        <item x="947"/>
        <item x="587"/>
        <item x="575"/>
        <item x="465"/>
        <item x="466"/>
        <item x="674"/>
        <item x="244"/>
        <item x="264"/>
        <item x="204"/>
        <item x="1005"/>
        <item x="250"/>
        <item x="714"/>
        <item x="627"/>
        <item x="417"/>
        <item x="1037"/>
        <item x="878"/>
        <item x="293"/>
        <item x="877"/>
        <item x="416"/>
        <item x="335"/>
        <item x="93"/>
        <item x="1038"/>
        <item x="525"/>
        <item x="439"/>
        <item x="751"/>
        <item x="418"/>
        <item x="526"/>
        <item x="626"/>
        <item x="1020"/>
        <item x="863"/>
        <item x="157"/>
        <item x="641"/>
        <item x="529"/>
        <item x="643"/>
        <item x="910"/>
        <item x="1072"/>
        <item x="889"/>
        <item x="472"/>
        <item x="460"/>
        <item x="719"/>
        <item x="550"/>
        <item x="1018"/>
        <item x="402"/>
        <item x="313"/>
        <item x="500"/>
        <item x="321"/>
        <item x="482"/>
        <item x="1000"/>
        <item x="216"/>
        <item x="1002"/>
        <item x="772"/>
        <item x="1063"/>
        <item x="94"/>
        <item x="787"/>
        <item x="205"/>
        <item x="1024"/>
        <item x="875"/>
        <item x="334"/>
        <item x="305"/>
        <item x="882"/>
        <item x="232"/>
        <item x="386"/>
        <item x="1044"/>
        <item x="532"/>
        <item x="420"/>
        <item x="229"/>
        <item x="338"/>
        <item x="883"/>
        <item x="1040"/>
        <item x="95"/>
        <item x="97"/>
        <item x="881"/>
        <item x="879"/>
        <item x="1045"/>
        <item x="336"/>
        <item x="337"/>
        <item x="1069"/>
        <item x="672"/>
        <item x="993"/>
        <item x="1074"/>
        <item x="973"/>
        <item x="213"/>
        <item x="308"/>
        <item x="22"/>
        <item x="329"/>
        <item x="519"/>
        <item x="224"/>
        <item x="567"/>
        <item x="639"/>
        <item x="904"/>
        <item x="720"/>
        <item x="118"/>
        <item x="300"/>
        <item x="506"/>
        <item x="79"/>
        <item x="507"/>
        <item x="330"/>
        <item x="963"/>
        <item x="773"/>
        <item x="774"/>
        <item x="646"/>
        <item x="781"/>
        <item x="987"/>
        <item x="796"/>
        <item x="913"/>
        <item x="343"/>
        <item x="347"/>
        <item x="907"/>
        <item x="872"/>
        <item x="594"/>
        <item x="754"/>
        <item x="895"/>
        <item x="609"/>
        <item x="495"/>
        <item x="166"/>
        <item x="405"/>
        <item x="77"/>
        <item x="268"/>
        <item x="357"/>
        <item x="704"/>
        <item x="857"/>
        <item x="223"/>
        <item x="698"/>
        <item x="203"/>
        <item x="702"/>
        <item x="611"/>
        <item x="11"/>
        <item x="662"/>
        <item x="1062"/>
        <item x="150"/>
        <item x="1003"/>
        <item x="265"/>
        <item x="842"/>
        <item x="322"/>
        <item x="588"/>
        <item x="2"/>
        <item x="767"/>
        <item x="716"/>
        <item x="676"/>
        <item x="391"/>
        <item x="633"/>
        <item x="535"/>
        <item x="756"/>
        <item x="184"/>
        <item x="1047"/>
        <item x="630"/>
        <item x="276"/>
        <item x="127"/>
        <item x="349"/>
        <item x="820"/>
        <item x="990"/>
        <item x="999"/>
        <item x="576"/>
        <item x="282"/>
        <item x="107"/>
        <item x="845"/>
        <item x="421"/>
        <item x="885"/>
        <item x="884"/>
        <item x="848"/>
        <item x="689"/>
        <item x="846"/>
        <item x="73"/>
        <item x="396"/>
        <item x="841"/>
        <item x="484"/>
        <item x="733"/>
        <item x="398"/>
        <item x="74"/>
        <item x="686"/>
        <item x="692"/>
        <item x="306"/>
        <item x="690"/>
        <item x="401"/>
        <item x="595"/>
        <item x="688"/>
        <item x="849"/>
        <item x="693"/>
        <item x="451"/>
        <item x="850"/>
        <item x="487"/>
        <item x="604"/>
        <item x="16"/>
        <item x="670"/>
        <item x="607"/>
        <item x="379"/>
        <item x="528"/>
        <item x="530"/>
        <item x="880"/>
        <item x="228"/>
        <item x="527"/>
        <item x="340"/>
        <item x="96"/>
        <item x="974"/>
        <item x="802"/>
        <item x="722"/>
        <item x="589"/>
        <item x="390"/>
        <item x="218"/>
        <item x="1006"/>
        <item x="67"/>
        <item x="392"/>
        <item x="249"/>
        <item x="121"/>
        <item x="906"/>
        <item x="128"/>
        <item x="896"/>
        <item x="425"/>
        <item x="188"/>
        <item x="102"/>
        <item x="457"/>
        <item x="1073"/>
        <item x="520"/>
        <item x="948"/>
        <item x="949"/>
        <item x="950"/>
        <item x="442"/>
        <item x="573"/>
        <item x="148"/>
        <item x="992"/>
        <item x="387"/>
        <item x="926"/>
        <item x="31"/>
        <item x="570"/>
        <item x="571"/>
        <item x="572"/>
        <item x="493"/>
        <item x="1036"/>
        <item x="873"/>
        <item x="975"/>
        <item x="461"/>
        <item x="462"/>
        <item x="548"/>
        <item x="510"/>
        <item x="618"/>
        <item x="870"/>
        <item x="17"/>
        <item x="324"/>
        <item x="869"/>
        <item x="227"/>
        <item x="657"/>
        <item x="288"/>
        <item x="85"/>
        <item x="23"/>
        <item x="711"/>
        <item x="709"/>
        <item x="90"/>
        <item x="821"/>
        <item x="32"/>
        <item x="86"/>
        <item x="833"/>
        <item x="129"/>
        <item x="239"/>
        <item x="665"/>
        <item x="1066"/>
        <item x="292"/>
        <item x="210"/>
        <item x="871"/>
        <item x="512"/>
        <item x="377"/>
        <item x="932"/>
        <item x="243"/>
        <item x="255"/>
        <item x="712"/>
        <item x="1041"/>
        <item x="444"/>
        <item x="596"/>
        <item x="383"/>
        <item x="582"/>
        <item x="57"/>
        <item x="185"/>
        <item x="533"/>
        <item x="112"/>
        <item x="187"/>
        <item x="189"/>
        <item x="718"/>
        <item x="1051"/>
        <item x="359"/>
        <item x="658"/>
        <item x="362"/>
        <item x="318"/>
        <item x="591"/>
        <item x="256"/>
        <item x="628"/>
        <item x="908"/>
        <item x="280"/>
        <item x="33"/>
        <item x="348"/>
        <item x="372"/>
        <item x="937"/>
        <item x="332"/>
        <item x="565"/>
        <item x="346"/>
        <item x="691"/>
        <item x="235"/>
        <item x="489"/>
        <item x="597"/>
        <item x="1012"/>
        <item x="598"/>
        <item x="54"/>
        <item x="713"/>
        <item x="55"/>
        <item x="1067"/>
        <item x="29"/>
        <item x="803"/>
        <item x="804"/>
        <item x="805"/>
        <item x="366"/>
        <item x="599"/>
        <item x="738"/>
        <item x="739"/>
        <item x="740"/>
        <item x="741"/>
        <item x="838"/>
        <item x="319"/>
        <item x="837"/>
        <item x="295"/>
        <item x="28"/>
        <item x="766"/>
        <item x="206"/>
        <item x="610"/>
        <item x="965"/>
        <item x="114"/>
        <item x="900"/>
        <item x="167"/>
        <item x="279"/>
        <item x="757"/>
        <item x="816"/>
        <item x="566"/>
        <item x="270"/>
        <item x="730"/>
        <item x="782"/>
        <item x="41"/>
        <item x="677"/>
        <item x="945"/>
        <item x="867"/>
        <item x="309"/>
        <item x="310"/>
        <item x="806"/>
        <item x="1019"/>
        <item x="615"/>
        <item x="705"/>
        <item x="606"/>
        <item x="853"/>
        <item x="697"/>
        <item x="496"/>
        <item x="854"/>
        <item x="175"/>
        <item x="176"/>
        <item x="177"/>
        <item x="178"/>
        <item x="356"/>
        <item x="586"/>
        <item x="342"/>
        <item x="350"/>
        <item x="750"/>
        <item x="682"/>
        <item x="976"/>
        <item x="681"/>
        <item x="108"/>
        <item x="592"/>
        <item x="480"/>
        <item x="742"/>
        <item x="817"/>
        <item x="58"/>
        <item x="678"/>
        <item x="1016"/>
        <item x="699"/>
        <item x="497"/>
        <item x="855"/>
        <item x="1049"/>
        <item x="1048"/>
        <item x="380"/>
        <item x="977"/>
        <item x="634"/>
        <item x="6"/>
        <item x="934"/>
        <item x="1027"/>
        <item x="388"/>
        <item x="914"/>
        <item x="182"/>
        <item x="400"/>
        <item x="485"/>
        <item x="87"/>
        <item x="893"/>
        <item x="371"/>
        <item x="765"/>
        <item x="1028"/>
        <item x="409"/>
        <item x="113"/>
        <item x="1023"/>
        <item x="84"/>
        <item x="1022"/>
        <item x="226"/>
        <item x="9"/>
        <item x="707"/>
        <item x="80"/>
        <item x="81"/>
        <item x="271"/>
        <item x="1029"/>
        <item x="8"/>
        <item x="40"/>
        <item x="962"/>
        <item x="807"/>
        <item x="13"/>
        <item x="1034"/>
        <item x="46"/>
        <item x="24"/>
        <item x="745"/>
        <item x="25"/>
        <item x="746"/>
        <item x="986"/>
        <item x="577"/>
        <item x="786"/>
        <item x="303"/>
        <item x="119"/>
        <item x="311"/>
        <item x="435"/>
        <item x="917"/>
        <item x="918"/>
        <item x="360"/>
        <item x="253"/>
        <item x="653"/>
        <item x="959"/>
        <item x="3"/>
        <item x="492"/>
        <item x="448"/>
        <item x="795"/>
        <item x="378"/>
        <item x="449"/>
        <item x="48"/>
        <item x="922"/>
        <item x="301"/>
        <item x="433"/>
        <item x="920"/>
        <item x="581"/>
        <item x="443"/>
        <item x="312"/>
        <item x="544"/>
        <item x="111"/>
        <item x="785"/>
        <item x="969"/>
        <item x="970"/>
        <item x="790"/>
        <item x="791"/>
        <item x="792"/>
        <item x="793"/>
        <item x="794"/>
        <item x="56"/>
        <item x="813"/>
        <item x="663"/>
        <item x="240"/>
        <item x="645"/>
        <item x="21"/>
        <item x="307"/>
        <item x="361"/>
        <item x="214"/>
        <item x="664"/>
        <item x="728"/>
        <item x="648"/>
        <item x="42"/>
        <item x="438"/>
        <item x="252"/>
        <item x="259"/>
        <item x="190"/>
        <item x="1"/>
        <item x="938"/>
        <item x="428"/>
        <item x="281"/>
        <item x="1053"/>
        <item x="191"/>
        <item x="106"/>
        <item x="267"/>
        <item x="679"/>
        <item x="431"/>
        <item x="104"/>
        <item x="660"/>
        <item x="44"/>
        <item x="534"/>
        <item x="635"/>
        <item x="931"/>
        <item x="238"/>
        <item x="354"/>
        <item x="287"/>
        <item x="915"/>
        <item x="897"/>
        <item x="997"/>
        <item x="671"/>
        <item x="385"/>
        <item x="735"/>
        <item x="961"/>
        <item x="208"/>
        <item x="656"/>
        <item x="822"/>
        <item x="823"/>
        <item x="160"/>
        <item x="680"/>
        <item x="69"/>
        <item x="317"/>
        <item x="476"/>
        <item x="477"/>
        <item x="478"/>
        <item x="7"/>
        <item x="316"/>
        <item x="27"/>
        <item x="1030"/>
        <item x="508"/>
        <item x="389"/>
        <item x="983"/>
        <item x="994"/>
        <item x="463"/>
        <item x="984"/>
        <item x="464"/>
        <item x="262"/>
        <item x="978"/>
        <item x="1009"/>
        <item x="933"/>
        <item x="760"/>
        <item x="939"/>
        <item x="824"/>
        <item x="483"/>
        <item x="723"/>
        <item x="546"/>
        <item x="724"/>
        <item x="283"/>
        <item x="196"/>
        <item x="284"/>
        <item x="644"/>
        <item x="1059"/>
        <item x="547"/>
        <item x="236"/>
        <item x="331"/>
        <item x="995"/>
        <item x="367"/>
        <item x="436"/>
        <item x="940"/>
        <item x="694"/>
        <item x="605"/>
        <item x="753"/>
        <item x="1017"/>
        <item x="130"/>
        <item x="131"/>
        <item x="434"/>
        <item x="10"/>
        <item x="162"/>
        <item x="72"/>
        <item x="395"/>
        <item x="479"/>
        <item x="650"/>
        <item x="921"/>
        <item x="928"/>
        <item x="960"/>
        <item x="651"/>
        <item x="749"/>
        <item x="168"/>
        <item x="747"/>
        <item x="578"/>
        <item x="138"/>
        <item x="1042"/>
        <item x="422"/>
        <item x="423"/>
        <item x="341"/>
        <item x="979"/>
        <item x="1039"/>
        <item x="874"/>
        <item x="375"/>
        <item x="919"/>
        <item x="536"/>
        <item x="277"/>
        <item x="537"/>
        <item x="98"/>
        <item x="132"/>
        <item x="133"/>
        <item x="1007"/>
        <item x="68"/>
        <item x="971"/>
        <item x="155"/>
        <item x="140"/>
        <item x="231"/>
        <item x="935"/>
        <item x="625"/>
        <item x="568"/>
        <item x="721"/>
        <item x="901"/>
        <item x="426"/>
        <item x="543"/>
        <item x="579"/>
        <item x="172"/>
        <item x="621"/>
        <item x="851"/>
        <item x="964"/>
        <item x="759"/>
        <item x="273"/>
        <item x="327"/>
        <item x="1068"/>
        <item x="410"/>
        <item x="411"/>
        <item x="368"/>
        <item x="328"/>
        <item x="325"/>
        <item x="257"/>
        <item x="134"/>
        <item x="241"/>
        <item x="503"/>
        <item x="135"/>
        <item x="540"/>
        <item x="88"/>
        <item x="370"/>
        <item x="600"/>
        <item x="486"/>
        <item x="687"/>
        <item x="1013"/>
        <item x="1014"/>
        <item x="4"/>
        <item x="71"/>
        <item x="828"/>
        <item x="1031"/>
        <item x="474"/>
        <item x="339"/>
        <item x="777"/>
        <item x="355"/>
        <item x="555"/>
        <item x="285"/>
        <item x="556"/>
        <item x="951"/>
        <item x="952"/>
        <item x="953"/>
        <item x="770"/>
        <item x="636"/>
        <item x="834"/>
        <item x="369"/>
        <item x="1054"/>
        <item x="684"/>
        <item x="511"/>
        <item x="412"/>
        <item x="413"/>
        <item x="516"/>
        <item x="1035"/>
        <item x="514"/>
        <item x="561"/>
        <item x="788"/>
        <item x="179"/>
        <item x="631"/>
        <item x="538"/>
        <item x="892"/>
        <item x="890"/>
        <item x="632"/>
        <item x="734"/>
        <item x="517"/>
        <item x="34"/>
        <item x="274"/>
        <item x="122"/>
        <item x="123"/>
        <item x="124"/>
        <item x="125"/>
        <item x="126"/>
        <item x="246"/>
        <item x="351"/>
        <item x="441"/>
        <item x="558"/>
        <item x="0"/>
        <item x="758"/>
        <item x="629"/>
        <item x="373"/>
        <item x="374"/>
        <item x="406"/>
        <item x="194"/>
        <item x="1021"/>
        <item x="169"/>
        <item x="894"/>
        <item x="1032"/>
        <item x="891"/>
        <item x="1046"/>
        <item x="99"/>
        <item x="886"/>
        <item x="887"/>
        <item x="100"/>
        <item x="424"/>
        <item x="278"/>
        <item x="230"/>
        <item x="186"/>
        <item x="736"/>
        <item x="30"/>
        <item x="954"/>
        <item x="955"/>
        <item x="956"/>
        <item x="957"/>
        <item x="775"/>
        <item x="715"/>
        <item x="101"/>
        <item x="898"/>
        <item x="642"/>
        <item x="326"/>
        <item x="394"/>
        <item x="1010"/>
        <item x="475"/>
        <item x="183"/>
        <item x="797"/>
        <item x="147"/>
        <item x="419"/>
        <item x="815"/>
        <item x="89"/>
        <item x="314"/>
        <item x="263"/>
        <item x="675"/>
        <item x="584"/>
        <item x="998"/>
        <item x="826"/>
        <item x="829"/>
        <item x="158"/>
        <item x="830"/>
        <item x="143"/>
        <item x="941"/>
        <item x="669"/>
        <item x="467"/>
        <item x="622"/>
        <item x="637"/>
        <item x="1011"/>
        <item x="652"/>
        <item x="789"/>
        <item x="601"/>
        <item x="593"/>
        <item x="902"/>
        <item x="696"/>
        <item x="494"/>
        <item x="858"/>
        <item x="221"/>
        <item x="856"/>
        <item x="700"/>
        <item x="49"/>
        <item x="136"/>
        <item x="980"/>
        <item x="981"/>
        <item x="43"/>
        <item x="925"/>
        <item x="967"/>
        <item x="545"/>
        <item x="509"/>
        <item x="966"/>
        <item x="481"/>
        <item x="501"/>
        <item x="864"/>
        <item x="170"/>
        <item x="865"/>
        <item x="502"/>
        <item x="440"/>
        <item x="171"/>
        <item x="737"/>
        <item x="748"/>
        <item x="513"/>
        <item x="320"/>
        <item x="843"/>
        <item x="942"/>
        <item x="1070"/>
        <item x="827"/>
        <item x="146"/>
        <item x="991"/>
        <item x="612"/>
        <item x="613"/>
        <item x="866"/>
        <item x="614"/>
        <item x="831"/>
        <item x="35"/>
        <item x="818"/>
        <item x="943"/>
        <item x="233"/>
        <item x="1060"/>
        <item x="201"/>
        <item x="149"/>
        <item x="151"/>
        <item x="814"/>
        <item x="673"/>
        <item x="1001"/>
        <item x="1004"/>
        <item x="82"/>
        <item x="912"/>
        <item x="888"/>
        <item x="364"/>
        <item x="109"/>
        <item x="237"/>
        <item x="376"/>
        <item x="39"/>
        <item x="36"/>
        <item x="302"/>
        <item x="247"/>
        <item x="654"/>
        <item x="37"/>
        <item x="905"/>
        <item x="490"/>
        <item x="159"/>
        <item x="468"/>
        <item x="989"/>
        <item x="154"/>
        <item x="470"/>
        <item x="161"/>
        <item x="142"/>
        <item x="446"/>
        <item x="469"/>
        <item x="916"/>
        <item x="70"/>
        <item x="1008"/>
        <item x="296"/>
        <item x="706"/>
        <item x="297"/>
        <item x="393"/>
        <item x="703"/>
        <item x="620"/>
        <item x="345"/>
        <item x="298"/>
        <item x="666"/>
        <item x="454"/>
        <item x="139"/>
        <item x="59"/>
        <item x="668"/>
        <item x="455"/>
        <item x="260"/>
        <item x="60"/>
        <item x="220"/>
        <item x="50"/>
        <item x="808"/>
        <item x="498"/>
        <item x="14"/>
        <item x="65"/>
        <item x="152"/>
        <item x="66"/>
        <item x="217"/>
        <item x="64"/>
        <item x="458"/>
        <item x="988"/>
        <item x="1033"/>
        <item x="437"/>
        <item x="473"/>
        <item x="762"/>
        <item x="12"/>
        <item x="207"/>
        <item x="499"/>
        <item x="291"/>
        <item x="120"/>
        <item x="783"/>
        <item x="261"/>
        <item x="258"/>
        <item x="583"/>
        <item x="647"/>
        <item x="731"/>
        <item x="832"/>
        <item x="299"/>
        <item x="427"/>
        <item x="924"/>
        <item x="743"/>
        <item x="15"/>
        <item x="450"/>
        <item x="173"/>
        <item x="289"/>
        <item x="819"/>
        <item x="602"/>
        <item x="844"/>
        <item x="1015"/>
        <item x="363"/>
        <item x="399"/>
        <item x="847"/>
        <item x="116"/>
        <item x="859"/>
        <item x="456"/>
        <item x="603"/>
        <item x="382"/>
        <item x="209"/>
        <item x="580"/>
        <item x="982"/>
        <item x="1065"/>
        <item x="198"/>
        <item x="1043"/>
        <item x="798"/>
        <item x="5"/>
        <item x="471"/>
        <item x="1057"/>
        <item x="562"/>
        <item x="61"/>
        <item x="1071"/>
        <item x="145"/>
        <item x="488"/>
        <item x="404"/>
        <item x="491"/>
        <item x="860"/>
        <item x="141"/>
        <item x="407"/>
        <item x="19"/>
        <item x="193"/>
        <item x="1058"/>
        <item x="549"/>
        <item x="62"/>
        <item x="784"/>
        <item x="45"/>
        <item x="1025"/>
        <item x="835"/>
        <item x="304"/>
        <item x="459"/>
        <item x="222"/>
        <item x="76"/>
        <item x="381"/>
        <item x="640"/>
        <item x="929"/>
        <item x="504"/>
        <item x="294"/>
        <item x="569"/>
        <item x="764"/>
        <item x="778"/>
        <item x="574"/>
        <item x="779"/>
        <item x="560"/>
        <item x="923"/>
        <item x="269"/>
        <item x="557"/>
        <item x="445"/>
        <item x="744"/>
        <item x="518"/>
        <item x="105"/>
        <item x="811"/>
        <item x="799"/>
        <item x="515"/>
        <item x="930"/>
        <item x="211"/>
        <item x="800"/>
        <item x="825"/>
        <item x="801"/>
        <item x="212"/>
        <item x="358"/>
        <item x="563"/>
        <item x="564"/>
        <item x="623"/>
        <item x="215"/>
        <item x="266"/>
        <item x="809"/>
        <item x="505"/>
        <item x="616"/>
        <item x="708"/>
        <item x="408"/>
        <item x="174"/>
        <item x="868"/>
        <item x="323"/>
        <item x="585"/>
        <item x="810"/>
        <item x="83"/>
        <item x="290"/>
        <item x="153"/>
        <item x="91"/>
        <item x="667"/>
        <item x="852"/>
        <item x="144"/>
        <item x="659"/>
        <item x="780"/>
        <item x="63"/>
        <item x="384"/>
        <item x="156"/>
        <item x="315"/>
        <item x="899"/>
        <item t="default"/>
      </items>
    </pivotField>
    <pivotField compact="0" showAll="0"/>
    <pivotField compact="0" showAll="0"/>
    <pivotField compact="0" numFmtId="3" showAll="0"/>
    <pivotField compact="0" showAll="0"/>
    <pivotField compact="0" showAll="0"/>
    <pivotField compact="0" showAll="0"/>
    <pivotField compact="0" showAll="0"/>
    <pivotField compact="0" numFmtId="177" showAll="0"/>
    <pivotField compact="0" numFmtId="178" showAll="0"/>
    <pivotField compact="0" numFmtId="17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3" showAll="0"/>
    <pivotField compact="0" showAll="0"/>
    <pivotField compact="0" showAll="0"/>
    <pivotField compact="0" numFmtId="176" showAll="0"/>
    <pivotField compact="0" numFmtId="176" showAll="0"/>
    <pivotField compact="0" numFmtId="3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4">
    <field x="5"/>
    <field x="3"/>
    <field x="1"/>
    <field x="6"/>
  </rowFields>
  <rowItems count="201">
    <i>
      <x v="1"/>
    </i>
    <i r="1">
      <x v="6"/>
    </i>
    <i r="2">
      <x v="349"/>
    </i>
    <i r="3">
      <x v="268"/>
    </i>
    <i>
      <x v="2"/>
    </i>
    <i r="1">
      <x v="6"/>
    </i>
    <i r="2">
      <x v="352"/>
    </i>
    <i r="3">
      <x v="27"/>
    </i>
    <i r="2">
      <x v="353"/>
    </i>
    <i r="3">
      <x v="28"/>
    </i>
    <i r="2">
      <x v="354"/>
    </i>
    <i r="3">
      <x v="602"/>
    </i>
    <i r="2">
      <x v="355"/>
    </i>
    <i r="3">
      <x v="740"/>
    </i>
    <i r="2">
      <x v="356"/>
    </i>
    <i r="3">
      <x v="471"/>
    </i>
    <i>
      <x v="4"/>
    </i>
    <i r="1">
      <x v="6"/>
    </i>
    <i r="2">
      <x v="318"/>
    </i>
    <i r="3">
      <x v="400"/>
    </i>
    <i r="2">
      <x v="319"/>
    </i>
    <i r="3">
      <x v="434"/>
    </i>
    <i>
      <x v="6"/>
    </i>
    <i r="1">
      <x v="6"/>
    </i>
    <i r="2">
      <x v="329"/>
    </i>
    <i r="3">
      <x v="204"/>
    </i>
    <i r="2">
      <x v="330"/>
    </i>
    <i r="3">
      <x v="216"/>
    </i>
    <i r="2">
      <x v="331"/>
    </i>
    <i r="3">
      <x v="651"/>
    </i>
    <i r="2">
      <x v="332"/>
    </i>
    <i r="3">
      <x v="410"/>
    </i>
    <i>
      <x v="11"/>
    </i>
    <i r="1">
      <x v="6"/>
    </i>
    <i r="2">
      <x v="343"/>
    </i>
    <i r="3">
      <x v="225"/>
    </i>
    <i r="2">
      <x v="344"/>
    </i>
    <i r="3">
      <x v="116"/>
    </i>
    <i r="2">
      <x v="345"/>
    </i>
    <i r="3">
      <x v="927"/>
    </i>
    <i>
      <x v="14"/>
    </i>
    <i r="1">
      <x v="6"/>
    </i>
    <i r="2">
      <x v="334"/>
    </i>
    <i r="3">
      <x v="177"/>
    </i>
    <i r="2">
      <x v="335"/>
    </i>
    <i r="3">
      <x v="139"/>
    </i>
    <i>
      <x v="16"/>
    </i>
    <i r="1">
      <x v="6"/>
    </i>
    <i r="2">
      <x v="336"/>
    </i>
    <i r="3">
      <x v="194"/>
    </i>
    <i r="2">
      <x v="337"/>
    </i>
    <i r="3">
      <x v="195"/>
    </i>
    <i r="2">
      <x v="338"/>
    </i>
    <i r="3">
      <x v="186"/>
    </i>
    <i r="2">
      <x v="339"/>
    </i>
    <i r="3">
      <x v="738"/>
    </i>
    <i r="2">
      <x v="340"/>
    </i>
    <i r="3">
      <x v="311"/>
    </i>
    <i r="2">
      <x v="341"/>
    </i>
    <i r="3">
      <x v="681"/>
    </i>
    <i>
      <x v="26"/>
    </i>
    <i r="1">
      <x v="6"/>
    </i>
    <i r="2">
      <x v="320"/>
    </i>
    <i r="3">
      <x v="870"/>
    </i>
    <i>
      <x v="28"/>
    </i>
    <i r="1">
      <x v="6"/>
    </i>
    <i r="2">
      <x v="315"/>
    </i>
    <i r="3">
      <x v="1073"/>
    </i>
    <i>
      <x v="31"/>
    </i>
    <i r="1">
      <x v="6"/>
    </i>
    <i r="2">
      <x v="342"/>
    </i>
    <i r="3">
      <x v="473"/>
    </i>
    <i>
      <x v="34"/>
    </i>
    <i r="1">
      <x v="6"/>
    </i>
    <i r="2">
      <x v="324"/>
    </i>
    <i r="3">
      <x v="357"/>
    </i>
    <i>
      <x v="40"/>
    </i>
    <i r="1">
      <x v="6"/>
    </i>
    <i r="2">
      <x v="323"/>
    </i>
    <i r="3">
      <x v="1058"/>
    </i>
    <i>
      <x v="47"/>
    </i>
    <i r="1">
      <x v="6"/>
    </i>
    <i r="2">
      <x v="303"/>
    </i>
    <i r="3">
      <x v="534"/>
    </i>
    <i>
      <x v="48"/>
    </i>
    <i r="1">
      <x v="6"/>
    </i>
    <i r="2">
      <x v="311"/>
    </i>
    <i r="3">
      <x v="536"/>
    </i>
    <i>
      <x v="51"/>
    </i>
    <i r="1">
      <x v="6"/>
    </i>
    <i r="2">
      <x v="294"/>
    </i>
    <i r="3">
      <x v="1022"/>
    </i>
    <i r="2">
      <x v="295"/>
    </i>
    <i r="3">
      <x v="436"/>
    </i>
    <i r="2">
      <x v="296"/>
    </i>
    <i r="3">
      <x v="921"/>
    </i>
    <i r="2">
      <x v="297"/>
    </i>
    <i r="3">
      <x v="923"/>
    </i>
    <i r="2">
      <x v="298"/>
    </i>
    <i r="3">
      <x v="928"/>
    </i>
    <i r="2">
      <x v="299"/>
    </i>
    <i r="3">
      <x v="965"/>
    </i>
    <i>
      <x v="52"/>
    </i>
    <i r="1">
      <x v="6"/>
    </i>
    <i r="2">
      <x v="301"/>
    </i>
    <i r="3">
      <x v="552"/>
    </i>
    <i>
      <x v="54"/>
    </i>
    <i r="1">
      <x v="6"/>
    </i>
    <i r="2">
      <x v="305"/>
    </i>
    <i r="3">
      <x v="178"/>
    </i>
    <i r="2">
      <x v="306"/>
    </i>
    <i r="3">
      <x v="291"/>
    </i>
    <i r="2">
      <x v="307"/>
    </i>
    <i r="3">
      <x v="574"/>
    </i>
    <i>
      <x v="55"/>
    </i>
    <i r="1">
      <x v="6"/>
    </i>
    <i r="2">
      <x v="312"/>
    </i>
    <i r="3">
      <x v="557"/>
    </i>
    <i>
      <x v="56"/>
    </i>
    <i r="1">
      <x v="6"/>
    </i>
    <i r="2">
      <x v="304"/>
    </i>
    <i r="3">
      <x v="1014"/>
    </i>
    <i>
      <x v="60"/>
    </i>
    <i r="1">
      <x v="6"/>
    </i>
    <i r="2">
      <x v="308"/>
    </i>
    <i r="3">
      <x v="202"/>
    </i>
    <i r="2">
      <x v="309"/>
    </i>
    <i r="3">
      <x v="456"/>
    </i>
    <i r="2">
      <x v="310"/>
    </i>
    <i r="3">
      <x v="457"/>
    </i>
    <i>
      <x v="62"/>
    </i>
    <i r="1">
      <x v="6"/>
    </i>
    <i r="2">
      <x v="346"/>
    </i>
    <i r="3">
      <x v="412"/>
    </i>
    <i r="2">
      <x v="347"/>
    </i>
    <i r="3">
      <x v="226"/>
    </i>
    <i r="2">
      <x v="348"/>
    </i>
    <i r="3">
      <x v="407"/>
    </i>
    <i>
      <x v="63"/>
    </i>
    <i r="1">
      <x v="6"/>
    </i>
    <i r="2">
      <x v="314"/>
    </i>
    <i r="3">
      <x v="822"/>
    </i>
    <i>
      <x v="65"/>
    </i>
    <i r="1">
      <x v="6"/>
    </i>
    <i r="2">
      <x v="316"/>
    </i>
    <i r="3">
      <x v="623"/>
    </i>
    <i r="2">
      <x v="317"/>
    </i>
    <i r="3">
      <x v="618"/>
    </i>
    <i>
      <x v="66"/>
    </i>
    <i r="1">
      <x v="6"/>
    </i>
    <i r="2">
      <x v="292"/>
    </i>
    <i r="3">
      <x v="375"/>
    </i>
    <i r="2">
      <x v="293"/>
    </i>
    <i r="3">
      <x v="136"/>
    </i>
    <i>
      <x v="67"/>
    </i>
    <i r="1">
      <x v="6"/>
    </i>
    <i r="2">
      <x v="350"/>
    </i>
    <i r="3">
      <x v="474"/>
    </i>
    <i r="2">
      <x v="351"/>
    </i>
    <i r="3">
      <x v="777"/>
    </i>
    <i>
      <x v="71"/>
    </i>
    <i r="1">
      <x v="6"/>
    </i>
    <i r="2">
      <x v="325"/>
    </i>
    <i r="3">
      <x v="719"/>
    </i>
    <i r="2">
      <x v="326"/>
    </i>
    <i r="3">
      <x v="812"/>
    </i>
    <i r="2">
      <x v="327"/>
    </i>
    <i r="3">
      <x v="713"/>
    </i>
    <i r="2">
      <x v="328"/>
    </i>
    <i r="3">
      <x v="718"/>
    </i>
    <i>
      <x v="78"/>
    </i>
    <i r="1">
      <x v="6"/>
    </i>
    <i r="2">
      <x v="313"/>
    </i>
    <i r="3">
      <x v="163"/>
    </i>
    <i>
      <x v="79"/>
    </i>
    <i r="1">
      <x v="6"/>
    </i>
    <i r="2">
      <x v="321"/>
    </i>
    <i r="3">
      <x v="165"/>
    </i>
    <i r="2">
      <x v="322"/>
    </i>
    <i r="3">
      <x v="253"/>
    </i>
    <i>
      <x v="84"/>
    </i>
    <i r="1">
      <x v="6"/>
    </i>
    <i r="2">
      <x v="288"/>
    </i>
    <i r="3">
      <x v="361"/>
    </i>
    <i>
      <x v="95"/>
    </i>
    <i r="1">
      <x v="6"/>
    </i>
    <i r="2">
      <x v="291"/>
    </i>
    <i r="3">
      <x v="956"/>
    </i>
    <i>
      <x v="96"/>
    </i>
    <i r="1">
      <x v="6"/>
    </i>
    <i r="2">
      <x v="302"/>
    </i>
    <i r="3">
      <x v="903"/>
    </i>
    <i>
      <x v="97"/>
    </i>
    <i r="1">
      <x v="6"/>
    </i>
    <i r="2">
      <x v="289"/>
    </i>
    <i r="3">
      <x v="972"/>
    </i>
    <i>
      <x v="101"/>
    </i>
    <i r="1">
      <x v="6"/>
    </i>
    <i r="2">
      <x v="300"/>
    </i>
    <i r="3">
      <x v="2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XDF1359"/>
  <sheetViews>
    <sheetView tabSelected="1" zoomScale="70" zoomScaleNormal="70" zoomScaleSheetLayoutView="55" workbookViewId="0">
      <selection activeCell="E19" sqref="E19"/>
    </sheetView>
  </sheetViews>
  <sheetFormatPr defaultRowHeight="16.5"/>
  <cols>
    <col min="1" max="1" width="9.375" style="46" customWidth="1"/>
    <col min="2" max="2" width="10.625" style="46" customWidth="1"/>
    <col min="3" max="3" width="22.875" style="46" customWidth="1"/>
    <col min="4" max="4" width="55.5" style="46" customWidth="1"/>
    <col min="5" max="5" width="38.375" style="46" customWidth="1"/>
    <col min="6" max="6" width="14.375" style="48" customWidth="1"/>
    <col min="7" max="8" width="9" style="46" customWidth="1"/>
    <col min="9" max="16384" width="9" style="46"/>
  </cols>
  <sheetData>
    <row r="1" spans="1:6" ht="64.5" customHeight="1">
      <c r="A1" s="93" t="s">
        <v>3005</v>
      </c>
      <c r="B1" s="93"/>
      <c r="C1" s="93"/>
      <c r="D1" s="93"/>
      <c r="E1" s="93"/>
      <c r="F1" s="94"/>
    </row>
    <row r="3" spans="1:6" ht="33">
      <c r="A3" s="47" t="s">
        <v>2063</v>
      </c>
      <c r="B3" s="45" t="s">
        <v>2072</v>
      </c>
      <c r="C3" s="44" t="s">
        <v>1</v>
      </c>
      <c r="D3" s="45" t="s">
        <v>2073</v>
      </c>
      <c r="E3" s="45" t="s">
        <v>2</v>
      </c>
      <c r="F3" s="49" t="s">
        <v>2074</v>
      </c>
    </row>
    <row r="4" spans="1:6" ht="20.100000000000001" customHeight="1">
      <c r="A4" s="44">
        <v>1</v>
      </c>
      <c r="B4" s="44">
        <v>2007</v>
      </c>
      <c r="C4" s="41" t="s">
        <v>2502</v>
      </c>
      <c r="D4" s="44" t="s">
        <v>892</v>
      </c>
      <c r="E4" s="44" t="s">
        <v>1799</v>
      </c>
      <c r="F4" s="50">
        <v>50</v>
      </c>
    </row>
    <row r="5" spans="1:6" ht="20.100000000000001" customHeight="1">
      <c r="A5" s="44">
        <v>2</v>
      </c>
      <c r="B5" s="45">
        <v>2007</v>
      </c>
      <c r="C5" s="47" t="s">
        <v>5</v>
      </c>
      <c r="D5" s="45" t="s">
        <v>1804</v>
      </c>
      <c r="E5" s="45" t="s">
        <v>1805</v>
      </c>
      <c r="F5" s="50">
        <v>31</v>
      </c>
    </row>
    <row r="6" spans="1:6" ht="20.100000000000001" customHeight="1">
      <c r="A6" s="44">
        <v>3</v>
      </c>
      <c r="B6" s="44">
        <v>2007</v>
      </c>
      <c r="C6" s="41" t="s">
        <v>7</v>
      </c>
      <c r="D6" s="44" t="s">
        <v>1813</v>
      </c>
      <c r="E6" s="44" t="s">
        <v>1361</v>
      </c>
      <c r="F6" s="50">
        <v>55</v>
      </c>
    </row>
    <row r="7" spans="1:6" ht="20.100000000000001" customHeight="1">
      <c r="A7" s="44">
        <v>4</v>
      </c>
      <c r="B7" s="45">
        <v>2007</v>
      </c>
      <c r="C7" s="47" t="s">
        <v>2587</v>
      </c>
      <c r="D7" s="45" t="s">
        <v>10</v>
      </c>
      <c r="E7" s="45" t="s">
        <v>1480</v>
      </c>
      <c r="F7" s="50">
        <v>10</v>
      </c>
    </row>
    <row r="8" spans="1:6" ht="20.100000000000001" customHeight="1">
      <c r="A8" s="44">
        <v>5</v>
      </c>
      <c r="B8" s="44">
        <v>2007</v>
      </c>
      <c r="C8" s="41" t="s">
        <v>11</v>
      </c>
      <c r="D8" s="44" t="s">
        <v>11</v>
      </c>
      <c r="E8" s="44" t="s">
        <v>1232</v>
      </c>
      <c r="F8" s="50">
        <v>50</v>
      </c>
    </row>
    <row r="9" spans="1:6" ht="20.100000000000001" customHeight="1">
      <c r="A9" s="44">
        <v>6</v>
      </c>
      <c r="B9" s="45">
        <v>2007</v>
      </c>
      <c r="C9" s="47" t="s">
        <v>12</v>
      </c>
      <c r="D9" s="45" t="s">
        <v>1840</v>
      </c>
      <c r="E9" s="45" t="s">
        <v>1841</v>
      </c>
      <c r="F9" s="50">
        <v>300</v>
      </c>
    </row>
    <row r="10" spans="1:6" ht="20.100000000000001" customHeight="1">
      <c r="A10" s="44">
        <v>7</v>
      </c>
      <c r="B10" s="45">
        <v>2007</v>
      </c>
      <c r="C10" s="47" t="s">
        <v>1233</v>
      </c>
      <c r="D10" s="45" t="s">
        <v>1479</v>
      </c>
      <c r="E10" s="45" t="s">
        <v>1234</v>
      </c>
      <c r="F10" s="50">
        <v>25</v>
      </c>
    </row>
    <row r="11" spans="1:6" ht="20.100000000000001" customHeight="1">
      <c r="A11" s="44">
        <v>8</v>
      </c>
      <c r="B11" s="44">
        <v>2007</v>
      </c>
      <c r="C11" s="41" t="s">
        <v>14</v>
      </c>
      <c r="D11" s="44" t="s">
        <v>15</v>
      </c>
      <c r="E11" s="44" t="s">
        <v>1235</v>
      </c>
      <c r="F11" s="50">
        <v>10</v>
      </c>
    </row>
    <row r="12" spans="1:6" ht="20.100000000000001" customHeight="1">
      <c r="A12" s="44">
        <v>9</v>
      </c>
      <c r="B12" s="44">
        <v>2008</v>
      </c>
      <c r="C12" s="41" t="s">
        <v>17</v>
      </c>
      <c r="D12" s="44" t="s">
        <v>18</v>
      </c>
      <c r="E12" s="44" t="s">
        <v>1236</v>
      </c>
      <c r="F12" s="50">
        <v>4.5</v>
      </c>
    </row>
    <row r="13" spans="1:6" s="53" customFormat="1" ht="20.100000000000001" customHeight="1">
      <c r="A13" s="44">
        <v>10</v>
      </c>
      <c r="B13" s="40">
        <v>2009</v>
      </c>
      <c r="C13" s="52" t="s">
        <v>17</v>
      </c>
      <c r="D13" s="51" t="s">
        <v>21</v>
      </c>
      <c r="E13" s="51" t="s">
        <v>1252</v>
      </c>
      <c r="F13" s="90">
        <v>20</v>
      </c>
    </row>
    <row r="14" spans="1:6" ht="20.100000000000001" customHeight="1">
      <c r="A14" s="44">
        <v>11</v>
      </c>
      <c r="B14" s="45">
        <v>2008</v>
      </c>
      <c r="C14" s="47" t="s">
        <v>5</v>
      </c>
      <c r="D14" s="45" t="s">
        <v>2254</v>
      </c>
      <c r="E14" s="45" t="s">
        <v>1806</v>
      </c>
      <c r="F14" s="50">
        <v>20</v>
      </c>
    </row>
    <row r="15" spans="1:6" ht="20.100000000000001" customHeight="1">
      <c r="A15" s="44">
        <v>12</v>
      </c>
      <c r="B15" s="44">
        <v>2008</v>
      </c>
      <c r="C15" s="41" t="s">
        <v>22</v>
      </c>
      <c r="D15" s="44" t="s">
        <v>22</v>
      </c>
      <c r="E15" s="44" t="s">
        <v>1230</v>
      </c>
      <c r="F15" s="50">
        <v>45</v>
      </c>
    </row>
    <row r="16" spans="1:6" ht="20.100000000000001" customHeight="1">
      <c r="A16" s="44">
        <v>13</v>
      </c>
      <c r="B16" s="45">
        <v>2008</v>
      </c>
      <c r="C16" s="47" t="s">
        <v>2071</v>
      </c>
      <c r="D16" s="45" t="s">
        <v>1024</v>
      </c>
      <c r="E16" s="45" t="s">
        <v>1023</v>
      </c>
      <c r="F16" s="50">
        <v>200</v>
      </c>
    </row>
    <row r="17" spans="1:6" ht="20.100000000000001" customHeight="1">
      <c r="A17" s="44">
        <v>14</v>
      </c>
      <c r="B17" s="45">
        <v>2008</v>
      </c>
      <c r="C17" s="47" t="s">
        <v>927</v>
      </c>
      <c r="D17" s="45" t="s">
        <v>927</v>
      </c>
      <c r="E17" s="45" t="s">
        <v>1995</v>
      </c>
      <c r="F17" s="50">
        <v>50</v>
      </c>
    </row>
    <row r="18" spans="1:6" ht="20.100000000000001" customHeight="1">
      <c r="A18" s="44">
        <v>15</v>
      </c>
      <c r="B18" s="45">
        <v>2008</v>
      </c>
      <c r="C18" s="47" t="s">
        <v>23</v>
      </c>
      <c r="D18" s="45" t="s">
        <v>24</v>
      </c>
      <c r="E18" s="45" t="s">
        <v>2790</v>
      </c>
      <c r="F18" s="50">
        <v>5</v>
      </c>
    </row>
    <row r="19" spans="1:6" ht="20.100000000000001" customHeight="1">
      <c r="A19" s="44">
        <v>16</v>
      </c>
      <c r="B19" s="45">
        <v>2008</v>
      </c>
      <c r="C19" s="47" t="s">
        <v>23</v>
      </c>
      <c r="D19" s="45" t="s">
        <v>25</v>
      </c>
      <c r="E19" s="45" t="s">
        <v>2791</v>
      </c>
      <c r="F19" s="50">
        <v>5</v>
      </c>
    </row>
    <row r="20" spans="1:6" ht="20.100000000000001" customHeight="1">
      <c r="A20" s="44">
        <v>17</v>
      </c>
      <c r="B20" s="44">
        <v>2008</v>
      </c>
      <c r="C20" s="41" t="s">
        <v>26</v>
      </c>
      <c r="D20" s="44" t="s">
        <v>27</v>
      </c>
      <c r="E20" s="44" t="s">
        <v>1831</v>
      </c>
      <c r="F20" s="50">
        <v>6</v>
      </c>
    </row>
    <row r="21" spans="1:6" ht="20.100000000000001" customHeight="1">
      <c r="A21" s="44">
        <v>18</v>
      </c>
      <c r="B21" s="45">
        <v>2008</v>
      </c>
      <c r="C21" s="47" t="s">
        <v>16</v>
      </c>
      <c r="D21" s="45" t="s">
        <v>28</v>
      </c>
      <c r="E21" s="45" t="s">
        <v>1832</v>
      </c>
      <c r="F21" s="50">
        <v>35</v>
      </c>
    </row>
    <row r="22" spans="1:6" ht="20.100000000000001" customHeight="1">
      <c r="A22" s="44">
        <v>19</v>
      </c>
      <c r="B22" s="44">
        <v>2008</v>
      </c>
      <c r="C22" s="44" t="s">
        <v>29</v>
      </c>
      <c r="D22" s="44" t="s">
        <v>30</v>
      </c>
      <c r="E22" s="44" t="s">
        <v>1481</v>
      </c>
      <c r="F22" s="50">
        <v>98</v>
      </c>
    </row>
    <row r="23" spans="1:6" ht="20.100000000000001" customHeight="1">
      <c r="A23" s="44">
        <v>20</v>
      </c>
      <c r="B23" s="44">
        <v>2008</v>
      </c>
      <c r="C23" s="41" t="s">
        <v>31</v>
      </c>
      <c r="D23" s="44" t="s">
        <v>32</v>
      </c>
      <c r="E23" s="44" t="s">
        <v>1682</v>
      </c>
      <c r="F23" s="50">
        <v>3</v>
      </c>
    </row>
    <row r="24" spans="1:6" ht="20.100000000000001" customHeight="1">
      <c r="A24" s="44">
        <v>21</v>
      </c>
      <c r="B24" s="44">
        <v>2008</v>
      </c>
      <c r="C24" s="41" t="s">
        <v>33</v>
      </c>
      <c r="D24" s="44" t="s">
        <v>1482</v>
      </c>
      <c r="E24" s="44" t="s">
        <v>1483</v>
      </c>
      <c r="F24" s="50">
        <v>29.96</v>
      </c>
    </row>
    <row r="25" spans="1:6" ht="20.100000000000001" customHeight="1">
      <c r="A25" s="44">
        <v>22</v>
      </c>
      <c r="B25" s="37">
        <v>2009</v>
      </c>
      <c r="C25" s="37" t="s">
        <v>2016</v>
      </c>
      <c r="D25" s="37" t="s">
        <v>2679</v>
      </c>
      <c r="E25" s="45" t="s">
        <v>2941</v>
      </c>
      <c r="F25" s="50">
        <v>67</v>
      </c>
    </row>
    <row r="26" spans="1:6" ht="20.100000000000001" customHeight="1">
      <c r="A26" s="44">
        <v>23</v>
      </c>
      <c r="B26" s="44">
        <v>2009</v>
      </c>
      <c r="C26" s="41" t="s">
        <v>2502</v>
      </c>
      <c r="D26" s="44" t="s">
        <v>36</v>
      </c>
      <c r="E26" s="44" t="s">
        <v>1825</v>
      </c>
      <c r="F26" s="50">
        <v>30</v>
      </c>
    </row>
    <row r="27" spans="1:6" ht="20.100000000000001" customHeight="1">
      <c r="A27" s="44">
        <v>24</v>
      </c>
      <c r="B27" s="45">
        <v>2009</v>
      </c>
      <c r="C27" s="47" t="s">
        <v>38</v>
      </c>
      <c r="D27" s="45" t="s">
        <v>39</v>
      </c>
      <c r="E27" s="45" t="s">
        <v>1484</v>
      </c>
      <c r="F27" s="50">
        <v>70</v>
      </c>
    </row>
    <row r="28" spans="1:6" ht="20.100000000000001" customHeight="1">
      <c r="A28" s="44">
        <v>25</v>
      </c>
      <c r="B28" s="44">
        <v>2009</v>
      </c>
      <c r="C28" s="41" t="s">
        <v>2477</v>
      </c>
      <c r="D28" s="44" t="s">
        <v>41</v>
      </c>
      <c r="E28" s="44" t="s">
        <v>1816</v>
      </c>
      <c r="F28" s="50">
        <v>10</v>
      </c>
    </row>
    <row r="29" spans="1:6" ht="20.100000000000001" customHeight="1">
      <c r="A29" s="44">
        <v>26</v>
      </c>
      <c r="B29" s="44">
        <v>2009</v>
      </c>
      <c r="C29" s="41" t="s">
        <v>42</v>
      </c>
      <c r="D29" s="44" t="s">
        <v>1059</v>
      </c>
      <c r="E29" s="44" t="s">
        <v>1060</v>
      </c>
      <c r="F29" s="50">
        <v>25</v>
      </c>
    </row>
    <row r="30" spans="1:6" ht="20.100000000000001" customHeight="1">
      <c r="A30" s="44">
        <v>27</v>
      </c>
      <c r="B30" s="44">
        <v>2009</v>
      </c>
      <c r="C30" s="41" t="s">
        <v>42</v>
      </c>
      <c r="D30" s="44" t="s">
        <v>1061</v>
      </c>
      <c r="E30" s="44" t="s">
        <v>1060</v>
      </c>
      <c r="F30" s="50">
        <v>15</v>
      </c>
    </row>
    <row r="31" spans="1:6" ht="20.100000000000001" customHeight="1">
      <c r="A31" s="44">
        <v>28</v>
      </c>
      <c r="B31" s="44">
        <v>2009</v>
      </c>
      <c r="C31" s="41" t="s">
        <v>44</v>
      </c>
      <c r="D31" s="44" t="s">
        <v>45</v>
      </c>
      <c r="E31" s="44" t="s">
        <v>1035</v>
      </c>
      <c r="F31" s="50">
        <v>20</v>
      </c>
    </row>
    <row r="32" spans="1:6" ht="20.100000000000001" customHeight="1">
      <c r="A32" s="44">
        <v>29</v>
      </c>
      <c r="B32" s="44">
        <v>2009</v>
      </c>
      <c r="C32" s="41" t="s">
        <v>44</v>
      </c>
      <c r="D32" s="44" t="s">
        <v>46</v>
      </c>
      <c r="E32" s="44" t="s">
        <v>1033</v>
      </c>
      <c r="F32" s="50">
        <v>10</v>
      </c>
    </row>
    <row r="33" spans="1:6" ht="20.100000000000001" customHeight="1">
      <c r="A33" s="44">
        <v>30</v>
      </c>
      <c r="B33" s="44">
        <v>2009</v>
      </c>
      <c r="C33" s="41" t="s">
        <v>47</v>
      </c>
      <c r="D33" s="44" t="s">
        <v>48</v>
      </c>
      <c r="E33" s="44" t="s">
        <v>1485</v>
      </c>
      <c r="F33" s="50">
        <v>50.4</v>
      </c>
    </row>
    <row r="34" spans="1:6" ht="20.100000000000001" customHeight="1">
      <c r="A34" s="44">
        <v>31</v>
      </c>
      <c r="B34" s="44">
        <v>2009</v>
      </c>
      <c r="C34" s="41" t="s">
        <v>7</v>
      </c>
      <c r="D34" s="44" t="s">
        <v>49</v>
      </c>
      <c r="E34" s="44" t="s">
        <v>1361</v>
      </c>
      <c r="F34" s="50">
        <v>30</v>
      </c>
    </row>
    <row r="35" spans="1:6" ht="20.100000000000001" customHeight="1">
      <c r="A35" s="44">
        <v>32</v>
      </c>
      <c r="B35" s="45">
        <v>2009</v>
      </c>
      <c r="C35" s="47" t="s">
        <v>1800</v>
      </c>
      <c r="D35" s="45" t="s">
        <v>50</v>
      </c>
      <c r="E35" s="45" t="s">
        <v>1801</v>
      </c>
      <c r="F35" s="50">
        <v>300</v>
      </c>
    </row>
    <row r="36" spans="1:6" ht="20.100000000000001" customHeight="1">
      <c r="A36" s="44">
        <v>33</v>
      </c>
      <c r="B36" s="45">
        <v>2009</v>
      </c>
      <c r="C36" s="47" t="s">
        <v>2589</v>
      </c>
      <c r="D36" s="45" t="s">
        <v>54</v>
      </c>
      <c r="E36" s="45" t="s">
        <v>1077</v>
      </c>
      <c r="F36" s="50">
        <v>20</v>
      </c>
    </row>
    <row r="37" spans="1:6" ht="20.100000000000001" customHeight="1">
      <c r="A37" s="44">
        <v>34</v>
      </c>
      <c r="B37" s="45">
        <v>2009</v>
      </c>
      <c r="C37" s="47" t="s">
        <v>2589</v>
      </c>
      <c r="D37" s="45" t="s">
        <v>53</v>
      </c>
      <c r="E37" s="45" t="s">
        <v>1093</v>
      </c>
      <c r="F37" s="50">
        <v>14.25</v>
      </c>
    </row>
    <row r="38" spans="1:6" ht="20.100000000000001" customHeight="1">
      <c r="A38" s="44">
        <v>35</v>
      </c>
      <c r="B38" s="45">
        <v>2009</v>
      </c>
      <c r="C38" s="47" t="s">
        <v>2589</v>
      </c>
      <c r="D38" s="45" t="s">
        <v>52</v>
      </c>
      <c r="E38" s="45" t="s">
        <v>1078</v>
      </c>
      <c r="F38" s="50">
        <v>15</v>
      </c>
    </row>
    <row r="39" spans="1:6" ht="20.100000000000001" customHeight="1">
      <c r="A39" s="44">
        <v>36</v>
      </c>
      <c r="B39" s="44">
        <v>2009</v>
      </c>
      <c r="C39" s="41" t="s">
        <v>59</v>
      </c>
      <c r="D39" s="44" t="s">
        <v>59</v>
      </c>
      <c r="E39" s="44" t="s">
        <v>2378</v>
      </c>
      <c r="F39" s="50">
        <v>70</v>
      </c>
    </row>
    <row r="40" spans="1:6" ht="20.100000000000001" customHeight="1">
      <c r="A40" s="44">
        <v>37</v>
      </c>
      <c r="B40" s="44">
        <v>2009</v>
      </c>
      <c r="C40" s="41" t="s">
        <v>2396</v>
      </c>
      <c r="D40" s="44" t="s">
        <v>1026</v>
      </c>
      <c r="E40" s="44" t="s">
        <v>1027</v>
      </c>
      <c r="F40" s="50">
        <v>70</v>
      </c>
    </row>
    <row r="41" spans="1:6" ht="20.100000000000001" customHeight="1">
      <c r="A41" s="44">
        <v>38</v>
      </c>
      <c r="B41" s="44">
        <v>2009</v>
      </c>
      <c r="C41" s="41" t="s">
        <v>2396</v>
      </c>
      <c r="D41" s="44" t="s">
        <v>61</v>
      </c>
      <c r="E41" s="44" t="s">
        <v>1025</v>
      </c>
      <c r="F41" s="50">
        <v>25</v>
      </c>
    </row>
    <row r="42" spans="1:6" s="54" customFormat="1" ht="20.100000000000001" customHeight="1">
      <c r="A42" s="44">
        <v>39</v>
      </c>
      <c r="B42" s="45">
        <v>2009</v>
      </c>
      <c r="C42" s="47" t="s">
        <v>2586</v>
      </c>
      <c r="D42" s="45" t="s">
        <v>926</v>
      </c>
      <c r="E42" s="45" t="s">
        <v>1486</v>
      </c>
      <c r="F42" s="50">
        <v>71</v>
      </c>
    </row>
    <row r="43" spans="1:6" s="54" customFormat="1" ht="20.100000000000001" customHeight="1">
      <c r="A43" s="44">
        <v>40</v>
      </c>
      <c r="B43" s="45">
        <v>2009</v>
      </c>
      <c r="C43" s="47" t="s">
        <v>2586</v>
      </c>
      <c r="D43" s="45" t="s">
        <v>63</v>
      </c>
      <c r="E43" s="45" t="s">
        <v>1488</v>
      </c>
      <c r="F43" s="50">
        <v>35</v>
      </c>
    </row>
    <row r="44" spans="1:6" s="54" customFormat="1" ht="20.100000000000001" customHeight="1">
      <c r="A44" s="44">
        <v>41</v>
      </c>
      <c r="B44" s="45">
        <v>2009</v>
      </c>
      <c r="C44" s="47" t="s">
        <v>2586</v>
      </c>
      <c r="D44" s="45" t="s">
        <v>925</v>
      </c>
      <c r="E44" s="45" t="s">
        <v>1487</v>
      </c>
      <c r="F44" s="50">
        <v>66</v>
      </c>
    </row>
    <row r="45" spans="1:6" s="54" customFormat="1" ht="20.100000000000001" customHeight="1">
      <c r="A45" s="44">
        <v>42</v>
      </c>
      <c r="B45" s="45">
        <v>2009</v>
      </c>
      <c r="C45" s="47" t="s">
        <v>2586</v>
      </c>
      <c r="D45" s="45" t="s">
        <v>1489</v>
      </c>
      <c r="E45" s="45" t="s">
        <v>1490</v>
      </c>
      <c r="F45" s="50">
        <v>20</v>
      </c>
    </row>
    <row r="46" spans="1:6" ht="20.100000000000001" customHeight="1">
      <c r="A46" s="44">
        <v>43</v>
      </c>
      <c r="B46" s="45">
        <v>2009</v>
      </c>
      <c r="C46" s="47" t="s">
        <v>12</v>
      </c>
      <c r="D46" s="45" t="s">
        <v>65</v>
      </c>
      <c r="E46" s="45" t="s">
        <v>1842</v>
      </c>
      <c r="F46" s="50">
        <v>55</v>
      </c>
    </row>
    <row r="47" spans="1:6" ht="20.100000000000001" customHeight="1">
      <c r="A47" s="44">
        <v>44</v>
      </c>
      <c r="B47" s="44">
        <v>2009</v>
      </c>
      <c r="C47" s="41" t="s">
        <v>66</v>
      </c>
      <c r="D47" s="44" t="s">
        <v>67</v>
      </c>
      <c r="E47" s="44" t="s">
        <v>1222</v>
      </c>
      <c r="F47" s="50">
        <v>17.899999999999999</v>
      </c>
    </row>
    <row r="48" spans="1:6" ht="20.100000000000001" customHeight="1">
      <c r="A48" s="44">
        <v>45</v>
      </c>
      <c r="B48" s="45">
        <v>2009</v>
      </c>
      <c r="C48" s="47" t="s">
        <v>1233</v>
      </c>
      <c r="D48" s="45" t="s">
        <v>73</v>
      </c>
      <c r="E48" s="45" t="s">
        <v>1243</v>
      </c>
      <c r="F48" s="50">
        <v>50</v>
      </c>
    </row>
    <row r="49" spans="1:6" ht="20.100000000000001" customHeight="1">
      <c r="A49" s="44">
        <v>46</v>
      </c>
      <c r="B49" s="45">
        <v>2009</v>
      </c>
      <c r="C49" s="47" t="s">
        <v>1233</v>
      </c>
      <c r="D49" s="45" t="s">
        <v>74</v>
      </c>
      <c r="E49" s="45" t="s">
        <v>1244</v>
      </c>
      <c r="F49" s="50">
        <v>50</v>
      </c>
    </row>
    <row r="50" spans="1:6" ht="20.100000000000001" customHeight="1">
      <c r="A50" s="44">
        <v>47</v>
      </c>
      <c r="B50" s="45">
        <v>2009</v>
      </c>
      <c r="C50" s="47" t="s">
        <v>1233</v>
      </c>
      <c r="D50" s="45" t="s">
        <v>68</v>
      </c>
      <c r="E50" s="45" t="s">
        <v>1237</v>
      </c>
      <c r="F50" s="50">
        <v>50</v>
      </c>
    </row>
    <row r="51" spans="1:6" ht="20.100000000000001" customHeight="1">
      <c r="A51" s="44">
        <v>48</v>
      </c>
      <c r="B51" s="45">
        <v>2009</v>
      </c>
      <c r="C51" s="47" t="s">
        <v>1233</v>
      </c>
      <c r="D51" s="45" t="s">
        <v>69</v>
      </c>
      <c r="E51" s="45" t="s">
        <v>1238</v>
      </c>
      <c r="F51" s="50">
        <v>50</v>
      </c>
    </row>
    <row r="52" spans="1:6" ht="20.100000000000001" customHeight="1">
      <c r="A52" s="44">
        <v>49</v>
      </c>
      <c r="B52" s="45">
        <v>2009</v>
      </c>
      <c r="C52" s="47" t="s">
        <v>1233</v>
      </c>
      <c r="D52" s="45" t="s">
        <v>1239</v>
      </c>
      <c r="E52" s="45" t="s">
        <v>1240</v>
      </c>
      <c r="F52" s="50">
        <v>50</v>
      </c>
    </row>
    <row r="53" spans="1:6" ht="20.100000000000001" customHeight="1">
      <c r="A53" s="44">
        <v>50</v>
      </c>
      <c r="B53" s="45">
        <v>2009</v>
      </c>
      <c r="C53" s="47" t="s">
        <v>1233</v>
      </c>
      <c r="D53" s="45" t="s">
        <v>71</v>
      </c>
      <c r="E53" s="45" t="s">
        <v>1241</v>
      </c>
      <c r="F53" s="50">
        <v>50</v>
      </c>
    </row>
    <row r="54" spans="1:6" ht="20.100000000000001" customHeight="1">
      <c r="A54" s="44">
        <v>51</v>
      </c>
      <c r="B54" s="45">
        <v>2009</v>
      </c>
      <c r="C54" s="47" t="s">
        <v>1233</v>
      </c>
      <c r="D54" s="45" t="s">
        <v>72</v>
      </c>
      <c r="E54" s="45" t="s">
        <v>1242</v>
      </c>
      <c r="F54" s="50">
        <v>70</v>
      </c>
    </row>
    <row r="55" spans="1:6" ht="20.100000000000001" customHeight="1">
      <c r="A55" s="44">
        <v>52</v>
      </c>
      <c r="B55" s="45">
        <v>2009</v>
      </c>
      <c r="C55" s="47" t="s">
        <v>76</v>
      </c>
      <c r="D55" s="45" t="s">
        <v>77</v>
      </c>
      <c r="E55" s="45" t="s">
        <v>984</v>
      </c>
      <c r="F55" s="50">
        <v>10</v>
      </c>
    </row>
    <row r="56" spans="1:6" ht="20.100000000000001" customHeight="1">
      <c r="A56" s="44">
        <v>53</v>
      </c>
      <c r="B56" s="45">
        <v>2009</v>
      </c>
      <c r="C56" s="47" t="s">
        <v>76</v>
      </c>
      <c r="D56" s="45" t="s">
        <v>78</v>
      </c>
      <c r="E56" s="45" t="s">
        <v>979</v>
      </c>
      <c r="F56" s="50">
        <v>10</v>
      </c>
    </row>
    <row r="57" spans="1:6" ht="20.100000000000001" customHeight="1">
      <c r="A57" s="44">
        <v>54</v>
      </c>
      <c r="B57" s="45">
        <v>2009</v>
      </c>
      <c r="C57" s="47" t="s">
        <v>76</v>
      </c>
      <c r="D57" s="45" t="s">
        <v>79</v>
      </c>
      <c r="E57" s="45" t="s">
        <v>983</v>
      </c>
      <c r="F57" s="50">
        <v>10</v>
      </c>
    </row>
    <row r="58" spans="1:6" ht="20.100000000000001" customHeight="1">
      <c r="A58" s="44">
        <v>55</v>
      </c>
      <c r="B58" s="45">
        <v>2009</v>
      </c>
      <c r="C58" s="47" t="s">
        <v>76</v>
      </c>
      <c r="D58" s="45" t="s">
        <v>80</v>
      </c>
      <c r="E58" s="45" t="s">
        <v>985</v>
      </c>
      <c r="F58" s="50">
        <v>10</v>
      </c>
    </row>
    <row r="59" spans="1:6" ht="20.100000000000001" customHeight="1">
      <c r="A59" s="44">
        <v>56</v>
      </c>
      <c r="B59" s="45">
        <v>2009</v>
      </c>
      <c r="C59" s="47" t="s">
        <v>76</v>
      </c>
      <c r="D59" s="45" t="s">
        <v>81</v>
      </c>
      <c r="E59" s="45" t="s">
        <v>982</v>
      </c>
      <c r="F59" s="50">
        <v>5</v>
      </c>
    </row>
    <row r="60" spans="1:6" ht="20.100000000000001" customHeight="1">
      <c r="A60" s="44">
        <v>57</v>
      </c>
      <c r="B60" s="45">
        <v>2009</v>
      </c>
      <c r="C60" s="47" t="s">
        <v>76</v>
      </c>
      <c r="D60" s="45" t="s">
        <v>82</v>
      </c>
      <c r="E60" s="45" t="s">
        <v>976</v>
      </c>
      <c r="F60" s="50">
        <v>5.2</v>
      </c>
    </row>
    <row r="61" spans="1:6" ht="20.100000000000001" customHeight="1">
      <c r="A61" s="44">
        <v>58</v>
      </c>
      <c r="B61" s="45">
        <v>2009</v>
      </c>
      <c r="C61" s="47" t="s">
        <v>55</v>
      </c>
      <c r="D61" s="45" t="s">
        <v>83</v>
      </c>
      <c r="E61" s="45" t="s">
        <v>1717</v>
      </c>
      <c r="F61" s="50">
        <v>30</v>
      </c>
    </row>
    <row r="62" spans="1:6" ht="20.100000000000001" customHeight="1">
      <c r="A62" s="44">
        <v>59</v>
      </c>
      <c r="B62" s="45">
        <v>2009</v>
      </c>
      <c r="C62" s="47" t="s">
        <v>23</v>
      </c>
      <c r="D62" s="45" t="s">
        <v>84</v>
      </c>
      <c r="E62" s="45" t="s">
        <v>2792</v>
      </c>
      <c r="F62" s="50">
        <v>5</v>
      </c>
    </row>
    <row r="63" spans="1:6" ht="20.100000000000001" customHeight="1">
      <c r="A63" s="44">
        <v>60</v>
      </c>
      <c r="B63" s="45">
        <v>2009</v>
      </c>
      <c r="C63" s="47" t="s">
        <v>23</v>
      </c>
      <c r="D63" s="45" t="s">
        <v>85</v>
      </c>
      <c r="E63" s="45" t="s">
        <v>2793</v>
      </c>
      <c r="F63" s="50">
        <v>3</v>
      </c>
    </row>
    <row r="64" spans="1:6" ht="20.100000000000001" customHeight="1">
      <c r="A64" s="44">
        <v>61</v>
      </c>
      <c r="B64" s="45">
        <v>2009</v>
      </c>
      <c r="C64" s="47" t="s">
        <v>23</v>
      </c>
      <c r="D64" s="45" t="s">
        <v>2794</v>
      </c>
      <c r="E64" s="45" t="s">
        <v>2795</v>
      </c>
      <c r="F64" s="50">
        <v>12.6</v>
      </c>
    </row>
    <row r="65" spans="1:6" ht="20.100000000000001" customHeight="1">
      <c r="A65" s="44">
        <v>62</v>
      </c>
      <c r="B65" s="45">
        <v>2009</v>
      </c>
      <c r="C65" s="47" t="s">
        <v>86</v>
      </c>
      <c r="D65" s="45" t="s">
        <v>87</v>
      </c>
      <c r="E65" s="45" t="s">
        <v>1834</v>
      </c>
      <c r="F65" s="50">
        <v>35</v>
      </c>
    </row>
    <row r="66" spans="1:6" ht="20.100000000000001" customHeight="1">
      <c r="A66" s="44">
        <v>63</v>
      </c>
      <c r="B66" s="45">
        <v>2009</v>
      </c>
      <c r="C66" s="47" t="s">
        <v>88</v>
      </c>
      <c r="D66" s="45" t="s">
        <v>89</v>
      </c>
      <c r="E66" s="45" t="s">
        <v>1016</v>
      </c>
      <c r="F66" s="55">
        <v>20</v>
      </c>
    </row>
    <row r="67" spans="1:6" ht="20.100000000000001" customHeight="1">
      <c r="A67" s="44">
        <v>64</v>
      </c>
      <c r="B67" s="44">
        <v>2009</v>
      </c>
      <c r="C67" s="41" t="s">
        <v>14</v>
      </c>
      <c r="D67" s="44" t="s">
        <v>90</v>
      </c>
      <c r="E67" s="44" t="s">
        <v>1246</v>
      </c>
      <c r="F67" s="50">
        <v>3</v>
      </c>
    </row>
    <row r="68" spans="1:6" ht="20.100000000000001" customHeight="1">
      <c r="A68" s="44">
        <v>65</v>
      </c>
      <c r="B68" s="44">
        <v>2009</v>
      </c>
      <c r="C68" s="41" t="s">
        <v>14</v>
      </c>
      <c r="D68" s="44" t="s">
        <v>1248</v>
      </c>
      <c r="E68" s="44" t="s">
        <v>1249</v>
      </c>
      <c r="F68" s="50">
        <v>5.76</v>
      </c>
    </row>
    <row r="69" spans="1:6" ht="20.100000000000001" customHeight="1">
      <c r="A69" s="44">
        <v>66</v>
      </c>
      <c r="B69" s="44">
        <v>2009</v>
      </c>
      <c r="C69" s="41" t="s">
        <v>14</v>
      </c>
      <c r="D69" s="44" t="s">
        <v>91</v>
      </c>
      <c r="E69" s="44" t="s">
        <v>1247</v>
      </c>
      <c r="F69" s="50">
        <v>10</v>
      </c>
    </row>
    <row r="70" spans="1:6" ht="20.100000000000001" customHeight="1">
      <c r="A70" s="44">
        <v>67</v>
      </c>
      <c r="B70" s="45">
        <v>2009</v>
      </c>
      <c r="C70" s="47" t="s">
        <v>43</v>
      </c>
      <c r="D70" s="45" t="s">
        <v>92</v>
      </c>
      <c r="E70" s="45" t="s">
        <v>1172</v>
      </c>
      <c r="F70" s="50">
        <v>4.8</v>
      </c>
    </row>
    <row r="71" spans="1:6" ht="20.100000000000001" customHeight="1">
      <c r="A71" s="44">
        <v>68</v>
      </c>
      <c r="B71" s="44">
        <v>2009</v>
      </c>
      <c r="C71" s="41" t="s">
        <v>26</v>
      </c>
      <c r="D71" s="44" t="s">
        <v>93</v>
      </c>
      <c r="E71" s="44" t="s">
        <v>1835</v>
      </c>
      <c r="F71" s="50">
        <v>40</v>
      </c>
    </row>
    <row r="72" spans="1:6" ht="20.100000000000001" customHeight="1">
      <c r="A72" s="44">
        <v>69</v>
      </c>
      <c r="B72" s="44">
        <v>2009</v>
      </c>
      <c r="C72" s="41" t="s">
        <v>26</v>
      </c>
      <c r="D72" s="44" t="s">
        <v>94</v>
      </c>
      <c r="E72" s="44" t="s">
        <v>1836</v>
      </c>
      <c r="F72" s="50">
        <v>20</v>
      </c>
    </row>
    <row r="73" spans="1:6" ht="20.100000000000001" customHeight="1">
      <c r="A73" s="44">
        <v>70</v>
      </c>
      <c r="B73" s="44">
        <v>2009</v>
      </c>
      <c r="C73" s="41" t="s">
        <v>1491</v>
      </c>
      <c r="D73" s="44" t="s">
        <v>95</v>
      </c>
      <c r="E73" s="44" t="s">
        <v>1492</v>
      </c>
      <c r="F73" s="50">
        <v>10</v>
      </c>
    </row>
    <row r="74" spans="1:6" ht="20.100000000000001" customHeight="1">
      <c r="A74" s="44">
        <v>71</v>
      </c>
      <c r="B74" s="44">
        <v>2009</v>
      </c>
      <c r="C74" s="41" t="s">
        <v>1491</v>
      </c>
      <c r="D74" s="44" t="s">
        <v>96</v>
      </c>
      <c r="E74" s="44" t="s">
        <v>1495</v>
      </c>
      <c r="F74" s="50">
        <v>20</v>
      </c>
    </row>
    <row r="75" spans="1:6" ht="20.100000000000001" customHeight="1">
      <c r="A75" s="44">
        <v>72</v>
      </c>
      <c r="B75" s="44">
        <v>2009</v>
      </c>
      <c r="C75" s="41" t="s">
        <v>70</v>
      </c>
      <c r="D75" s="44" t="s">
        <v>1493</v>
      </c>
      <c r="E75" s="44" t="s">
        <v>1494</v>
      </c>
      <c r="F75" s="50">
        <v>15</v>
      </c>
    </row>
    <row r="76" spans="1:6" ht="20.100000000000001" customHeight="1">
      <c r="A76" s="44">
        <v>73</v>
      </c>
      <c r="B76" s="45">
        <v>2009</v>
      </c>
      <c r="C76" s="45" t="s">
        <v>13</v>
      </c>
      <c r="D76" s="39" t="s">
        <v>97</v>
      </c>
      <c r="E76" s="39" t="s">
        <v>938</v>
      </c>
      <c r="F76" s="50">
        <v>10</v>
      </c>
    </row>
    <row r="77" spans="1:6" ht="20.100000000000001" customHeight="1">
      <c r="A77" s="44">
        <v>74</v>
      </c>
      <c r="B77" s="45">
        <v>2009</v>
      </c>
      <c r="C77" s="47" t="s">
        <v>19</v>
      </c>
      <c r="D77" s="45" t="s">
        <v>100</v>
      </c>
      <c r="E77" s="45" t="s">
        <v>1254</v>
      </c>
      <c r="F77" s="50">
        <v>10</v>
      </c>
    </row>
    <row r="78" spans="1:6" ht="20.100000000000001" customHeight="1">
      <c r="A78" s="44">
        <v>75</v>
      </c>
      <c r="B78" s="45">
        <v>2009</v>
      </c>
      <c r="C78" s="47" t="s">
        <v>19</v>
      </c>
      <c r="D78" s="45" t="s">
        <v>2518</v>
      </c>
      <c r="E78" s="45" t="s">
        <v>1251</v>
      </c>
      <c r="F78" s="50">
        <v>30</v>
      </c>
    </row>
    <row r="79" spans="1:6" ht="20.100000000000001" customHeight="1">
      <c r="A79" s="44">
        <v>76</v>
      </c>
      <c r="B79" s="45">
        <v>2009</v>
      </c>
      <c r="C79" s="47" t="s">
        <v>19</v>
      </c>
      <c r="D79" s="45" t="s">
        <v>99</v>
      </c>
      <c r="E79" s="45" t="s">
        <v>1253</v>
      </c>
      <c r="F79" s="50">
        <v>10</v>
      </c>
    </row>
    <row r="80" spans="1:6" ht="20.100000000000001" customHeight="1">
      <c r="A80" s="44">
        <v>77</v>
      </c>
      <c r="B80" s="45">
        <v>2009</v>
      </c>
      <c r="C80" s="47" t="s">
        <v>19</v>
      </c>
      <c r="D80" s="45" t="s">
        <v>98</v>
      </c>
      <c r="E80" s="45" t="s">
        <v>1250</v>
      </c>
      <c r="F80" s="50">
        <v>60</v>
      </c>
    </row>
    <row r="81" spans="1:9" ht="20.100000000000001" customHeight="1">
      <c r="A81" s="44">
        <v>78</v>
      </c>
      <c r="B81" s="45">
        <v>2009</v>
      </c>
      <c r="C81" s="47" t="s">
        <v>2055</v>
      </c>
      <c r="D81" s="45" t="s">
        <v>2676</v>
      </c>
      <c r="E81" s="45" t="s">
        <v>1837</v>
      </c>
      <c r="F81" s="50">
        <v>100</v>
      </c>
    </row>
    <row r="82" spans="1:9" ht="20.100000000000001" customHeight="1">
      <c r="A82" s="44">
        <v>79</v>
      </c>
      <c r="B82" s="45">
        <v>2009</v>
      </c>
      <c r="C82" s="47" t="s">
        <v>16</v>
      </c>
      <c r="D82" s="45" t="s">
        <v>918</v>
      </c>
      <c r="E82" s="45" t="s">
        <v>1839</v>
      </c>
      <c r="F82" s="50">
        <v>20</v>
      </c>
    </row>
    <row r="83" spans="1:9" ht="20.100000000000001" customHeight="1">
      <c r="A83" s="44">
        <v>80</v>
      </c>
      <c r="B83" s="45">
        <v>2009</v>
      </c>
      <c r="C83" s="47" t="s">
        <v>16</v>
      </c>
      <c r="D83" s="45" t="s">
        <v>917</v>
      </c>
      <c r="E83" s="45" t="s">
        <v>1838</v>
      </c>
      <c r="F83" s="50">
        <v>14.4</v>
      </c>
    </row>
    <row r="84" spans="1:9" ht="20.100000000000001" customHeight="1">
      <c r="A84" s="44">
        <v>81</v>
      </c>
      <c r="B84" s="44">
        <v>2009</v>
      </c>
      <c r="C84" s="44" t="s">
        <v>1496</v>
      </c>
      <c r="D84" s="44" t="s">
        <v>101</v>
      </c>
      <c r="E84" s="44" t="s">
        <v>1497</v>
      </c>
      <c r="F84" s="50">
        <v>50</v>
      </c>
    </row>
    <row r="85" spans="1:9" ht="20.100000000000001" customHeight="1">
      <c r="A85" s="44">
        <v>82</v>
      </c>
      <c r="B85" s="44">
        <v>2009</v>
      </c>
      <c r="C85" s="44" t="s">
        <v>29</v>
      </c>
      <c r="D85" s="44" t="s">
        <v>102</v>
      </c>
      <c r="E85" s="44" t="s">
        <v>1498</v>
      </c>
      <c r="F85" s="50">
        <v>20</v>
      </c>
    </row>
    <row r="86" spans="1:9" ht="20.100000000000001" customHeight="1">
      <c r="A86" s="44">
        <v>83</v>
      </c>
      <c r="B86" s="44">
        <v>2009</v>
      </c>
      <c r="C86" s="44" t="s">
        <v>29</v>
      </c>
      <c r="D86" s="44" t="s">
        <v>1500</v>
      </c>
      <c r="E86" s="44" t="s">
        <v>1501</v>
      </c>
      <c r="F86" s="50">
        <v>30</v>
      </c>
    </row>
    <row r="87" spans="1:9" ht="20.100000000000001" customHeight="1">
      <c r="A87" s="44">
        <v>84</v>
      </c>
      <c r="B87" s="44">
        <v>2009</v>
      </c>
      <c r="C87" s="44" t="s">
        <v>29</v>
      </c>
      <c r="D87" s="44" t="s">
        <v>103</v>
      </c>
      <c r="E87" s="44" t="s">
        <v>1499</v>
      </c>
      <c r="F87" s="50">
        <v>20</v>
      </c>
    </row>
    <row r="88" spans="1:9" ht="20.100000000000001" customHeight="1">
      <c r="A88" s="44">
        <v>85</v>
      </c>
      <c r="B88" s="44">
        <v>2009</v>
      </c>
      <c r="C88" s="41" t="s">
        <v>104</v>
      </c>
      <c r="D88" s="44" t="s">
        <v>105</v>
      </c>
      <c r="E88" s="44" t="s">
        <v>1502</v>
      </c>
      <c r="F88" s="50">
        <v>30</v>
      </c>
    </row>
    <row r="89" spans="1:9" ht="20.100000000000001" customHeight="1">
      <c r="A89" s="44">
        <v>86</v>
      </c>
      <c r="B89" s="44">
        <v>2009</v>
      </c>
      <c r="C89" s="41" t="s">
        <v>104</v>
      </c>
      <c r="D89" s="44" t="s">
        <v>107</v>
      </c>
      <c r="E89" s="44" t="s">
        <v>1504</v>
      </c>
      <c r="F89" s="50">
        <v>10</v>
      </c>
    </row>
    <row r="90" spans="1:9" ht="20.100000000000001" customHeight="1">
      <c r="A90" s="44">
        <v>87</v>
      </c>
      <c r="B90" s="44">
        <v>2009</v>
      </c>
      <c r="C90" s="41" t="s">
        <v>1674</v>
      </c>
      <c r="D90" s="44" t="s">
        <v>106</v>
      </c>
      <c r="E90" s="44" t="s">
        <v>1503</v>
      </c>
      <c r="F90" s="50">
        <v>10</v>
      </c>
    </row>
    <row r="91" spans="1:9" ht="20.100000000000001" customHeight="1">
      <c r="A91" s="44">
        <v>88</v>
      </c>
      <c r="B91" s="44">
        <v>2009</v>
      </c>
      <c r="C91" s="41" t="s">
        <v>31</v>
      </c>
      <c r="D91" s="44" t="s">
        <v>108</v>
      </c>
      <c r="E91" s="44" t="s">
        <v>1683</v>
      </c>
      <c r="F91" s="50">
        <v>28</v>
      </c>
    </row>
    <row r="92" spans="1:9" ht="20.100000000000001" customHeight="1">
      <c r="A92" s="44">
        <v>89</v>
      </c>
      <c r="B92" s="44">
        <v>2009</v>
      </c>
      <c r="C92" s="41" t="s">
        <v>31</v>
      </c>
      <c r="D92" s="44" t="s">
        <v>110</v>
      </c>
      <c r="E92" s="44" t="s">
        <v>1685</v>
      </c>
      <c r="F92" s="50">
        <v>40</v>
      </c>
    </row>
    <row r="93" spans="1:9" ht="20.100000000000001" customHeight="1">
      <c r="A93" s="44">
        <v>90</v>
      </c>
      <c r="B93" s="44">
        <v>2009</v>
      </c>
      <c r="C93" s="41" t="s">
        <v>31</v>
      </c>
      <c r="D93" s="44" t="s">
        <v>109</v>
      </c>
      <c r="E93" s="44" t="s">
        <v>1684</v>
      </c>
      <c r="F93" s="50">
        <v>25</v>
      </c>
      <c r="G93" s="42"/>
      <c r="H93" s="42"/>
      <c r="I93" s="42"/>
    </row>
    <row r="94" spans="1:9" ht="20.100000000000001" customHeight="1">
      <c r="A94" s="44">
        <v>91</v>
      </c>
      <c r="B94" s="44">
        <v>2009</v>
      </c>
      <c r="C94" s="41" t="s">
        <v>33</v>
      </c>
      <c r="D94" s="44" t="s">
        <v>1505</v>
      </c>
      <c r="E94" s="44" t="s">
        <v>1506</v>
      </c>
      <c r="F94" s="50">
        <v>50.4</v>
      </c>
    </row>
    <row r="95" spans="1:9" ht="20.100000000000001" customHeight="1">
      <c r="A95" s="44">
        <v>92</v>
      </c>
      <c r="B95" s="44">
        <v>2009</v>
      </c>
      <c r="C95" s="41" t="s">
        <v>33</v>
      </c>
      <c r="D95" s="44" t="s">
        <v>113</v>
      </c>
      <c r="E95" s="44" t="s">
        <v>1507</v>
      </c>
      <c r="F95" s="50">
        <v>30.24</v>
      </c>
    </row>
    <row r="96" spans="1:9" ht="20.100000000000001" customHeight="1">
      <c r="A96" s="44">
        <v>93</v>
      </c>
      <c r="B96" s="44">
        <v>2009</v>
      </c>
      <c r="C96" s="41" t="s">
        <v>6</v>
      </c>
      <c r="D96" s="44" t="s">
        <v>114</v>
      </c>
      <c r="E96" s="44" t="s">
        <v>1255</v>
      </c>
      <c r="F96" s="50">
        <v>30</v>
      </c>
    </row>
    <row r="97" spans="1:6" ht="20.100000000000001" customHeight="1">
      <c r="A97" s="44">
        <v>94</v>
      </c>
      <c r="B97" s="44">
        <v>2009</v>
      </c>
      <c r="C97" s="41" t="s">
        <v>6</v>
      </c>
      <c r="D97" s="44" t="s">
        <v>115</v>
      </c>
      <c r="E97" s="44" t="s">
        <v>1256</v>
      </c>
      <c r="F97" s="50">
        <v>10</v>
      </c>
    </row>
    <row r="98" spans="1:6" ht="20.100000000000001" customHeight="1">
      <c r="A98" s="44">
        <v>95</v>
      </c>
      <c r="B98" s="44">
        <v>2009</v>
      </c>
      <c r="C98" s="41" t="s">
        <v>3</v>
      </c>
      <c r="D98" s="44" t="s">
        <v>116</v>
      </c>
      <c r="E98" s="44" t="s">
        <v>1098</v>
      </c>
      <c r="F98" s="50">
        <v>16.399999999999999</v>
      </c>
    </row>
    <row r="99" spans="1:6" ht="20.100000000000001" customHeight="1">
      <c r="A99" s="44">
        <v>96</v>
      </c>
      <c r="B99" s="44">
        <v>2009</v>
      </c>
      <c r="C99" s="41" t="s">
        <v>3</v>
      </c>
      <c r="D99" s="44" t="s">
        <v>117</v>
      </c>
      <c r="E99" s="44" t="s">
        <v>1099</v>
      </c>
      <c r="F99" s="50">
        <v>19.8</v>
      </c>
    </row>
    <row r="100" spans="1:6" ht="20.100000000000001" customHeight="1">
      <c r="A100" s="44">
        <v>97</v>
      </c>
      <c r="B100" s="44">
        <v>2009</v>
      </c>
      <c r="C100" s="41" t="s">
        <v>56</v>
      </c>
      <c r="D100" s="44" t="s">
        <v>118</v>
      </c>
      <c r="E100" s="45" t="s">
        <v>2602</v>
      </c>
      <c r="F100" s="50">
        <v>3</v>
      </c>
    </row>
    <row r="101" spans="1:6" ht="20.100000000000001" customHeight="1">
      <c r="A101" s="44">
        <v>98</v>
      </c>
      <c r="B101" s="45">
        <v>2010</v>
      </c>
      <c r="C101" s="47" t="s">
        <v>2957</v>
      </c>
      <c r="D101" s="45" t="s">
        <v>2682</v>
      </c>
      <c r="E101" s="45" t="s">
        <v>1071</v>
      </c>
      <c r="F101" s="50">
        <v>25.41</v>
      </c>
    </row>
    <row r="102" spans="1:6" ht="20.100000000000001" customHeight="1">
      <c r="A102" s="44">
        <v>99</v>
      </c>
      <c r="B102" s="45">
        <v>2010</v>
      </c>
      <c r="C102" s="47" t="s">
        <v>2701</v>
      </c>
      <c r="D102" s="45" t="s">
        <v>2702</v>
      </c>
      <c r="E102" s="45" t="s">
        <v>1508</v>
      </c>
      <c r="F102" s="50">
        <v>50.16</v>
      </c>
    </row>
    <row r="103" spans="1:6" ht="20.100000000000001" customHeight="1">
      <c r="A103" s="44">
        <v>100</v>
      </c>
      <c r="B103" s="44">
        <v>2010</v>
      </c>
      <c r="C103" s="41" t="s">
        <v>1281</v>
      </c>
      <c r="D103" s="44" t="s">
        <v>121</v>
      </c>
      <c r="E103" s="45" t="s">
        <v>2629</v>
      </c>
      <c r="F103" s="50">
        <v>6</v>
      </c>
    </row>
    <row r="104" spans="1:6" ht="20.100000000000001" customHeight="1">
      <c r="A104" s="44">
        <v>101</v>
      </c>
      <c r="B104" s="44">
        <v>2010</v>
      </c>
      <c r="C104" s="41" t="s">
        <v>122</v>
      </c>
      <c r="D104" s="44" t="s">
        <v>123</v>
      </c>
      <c r="E104" s="44" t="s">
        <v>1920</v>
      </c>
      <c r="F104" s="50">
        <v>30</v>
      </c>
    </row>
    <row r="105" spans="1:6" ht="20.100000000000001" customHeight="1">
      <c r="A105" s="44">
        <v>102</v>
      </c>
      <c r="B105" s="44">
        <v>2010</v>
      </c>
      <c r="C105" s="41" t="s">
        <v>7</v>
      </c>
      <c r="D105" s="44" t="s">
        <v>124</v>
      </c>
      <c r="E105" s="44" t="s">
        <v>1361</v>
      </c>
      <c r="F105" s="50">
        <v>30</v>
      </c>
    </row>
    <row r="106" spans="1:6" ht="20.100000000000001" customHeight="1">
      <c r="A106" s="44">
        <v>103</v>
      </c>
      <c r="B106" s="45">
        <v>2010</v>
      </c>
      <c r="C106" s="47" t="s">
        <v>1800</v>
      </c>
      <c r="D106" s="45" t="s">
        <v>125</v>
      </c>
      <c r="E106" s="45" t="s">
        <v>1802</v>
      </c>
      <c r="F106" s="50">
        <v>11</v>
      </c>
    </row>
    <row r="107" spans="1:6" ht="20.100000000000001" customHeight="1">
      <c r="A107" s="44">
        <v>104</v>
      </c>
      <c r="B107" s="44">
        <v>2010</v>
      </c>
      <c r="C107" s="41" t="s">
        <v>126</v>
      </c>
      <c r="D107" s="44" t="s">
        <v>127</v>
      </c>
      <c r="E107" s="44" t="s">
        <v>1220</v>
      </c>
      <c r="F107" s="50">
        <v>100</v>
      </c>
    </row>
    <row r="108" spans="1:6" ht="20.100000000000001" customHeight="1">
      <c r="A108" s="44">
        <v>105</v>
      </c>
      <c r="B108" s="44">
        <v>2010</v>
      </c>
      <c r="C108" s="41" t="s">
        <v>128</v>
      </c>
      <c r="D108" s="44" t="s">
        <v>129</v>
      </c>
      <c r="E108" s="44" t="s">
        <v>1989</v>
      </c>
      <c r="F108" s="50">
        <v>60</v>
      </c>
    </row>
    <row r="109" spans="1:6" ht="20.100000000000001" customHeight="1">
      <c r="A109" s="44">
        <v>106</v>
      </c>
      <c r="B109" s="45">
        <v>2010</v>
      </c>
      <c r="C109" s="47" t="s">
        <v>2396</v>
      </c>
      <c r="D109" s="45" t="s">
        <v>2999</v>
      </c>
      <c r="E109" s="45" t="s">
        <v>1028</v>
      </c>
      <c r="F109" s="50">
        <v>15</v>
      </c>
    </row>
    <row r="110" spans="1:6" ht="20.100000000000001" customHeight="1">
      <c r="A110" s="44">
        <v>107</v>
      </c>
      <c r="B110" s="45">
        <v>2010</v>
      </c>
      <c r="C110" s="47" t="s">
        <v>12</v>
      </c>
      <c r="D110" s="45" t="s">
        <v>130</v>
      </c>
      <c r="E110" s="45" t="s">
        <v>1843</v>
      </c>
      <c r="F110" s="50">
        <v>31.68</v>
      </c>
    </row>
    <row r="111" spans="1:6" ht="20.100000000000001" customHeight="1">
      <c r="A111" s="44">
        <v>108</v>
      </c>
      <c r="B111" s="45">
        <v>2010</v>
      </c>
      <c r="C111" s="47" t="s">
        <v>12</v>
      </c>
      <c r="D111" s="45" t="s">
        <v>132</v>
      </c>
      <c r="E111" s="45" t="s">
        <v>1844</v>
      </c>
      <c r="F111" s="50">
        <v>10</v>
      </c>
    </row>
    <row r="112" spans="1:6" ht="20.100000000000001" customHeight="1">
      <c r="A112" s="44">
        <v>109</v>
      </c>
      <c r="B112" s="45">
        <v>2010</v>
      </c>
      <c r="C112" s="47" t="s">
        <v>12</v>
      </c>
      <c r="D112" s="45" t="s">
        <v>133</v>
      </c>
      <c r="E112" s="45" t="s">
        <v>1844</v>
      </c>
      <c r="F112" s="50">
        <v>30</v>
      </c>
    </row>
    <row r="113" spans="1:6" ht="20.100000000000001" customHeight="1">
      <c r="A113" s="44">
        <v>110</v>
      </c>
      <c r="B113" s="45">
        <v>2010</v>
      </c>
      <c r="C113" s="47" t="s">
        <v>12</v>
      </c>
      <c r="D113" s="45" t="s">
        <v>131</v>
      </c>
      <c r="E113" s="45" t="s">
        <v>1844</v>
      </c>
      <c r="F113" s="50">
        <v>20</v>
      </c>
    </row>
    <row r="114" spans="1:6" ht="20.100000000000001" customHeight="1">
      <c r="A114" s="44">
        <v>111</v>
      </c>
      <c r="B114" s="45">
        <v>2010</v>
      </c>
      <c r="C114" s="47" t="s">
        <v>12</v>
      </c>
      <c r="D114" s="45" t="s">
        <v>2870</v>
      </c>
      <c r="E114" s="45" t="s">
        <v>1844</v>
      </c>
      <c r="F114" s="50">
        <v>10</v>
      </c>
    </row>
    <row r="115" spans="1:6" ht="20.100000000000001" customHeight="1">
      <c r="A115" s="44">
        <v>112</v>
      </c>
      <c r="B115" s="45">
        <v>2010</v>
      </c>
      <c r="C115" s="47" t="s">
        <v>1233</v>
      </c>
      <c r="D115" s="45" t="s">
        <v>136</v>
      </c>
      <c r="E115" s="45" t="s">
        <v>1260</v>
      </c>
      <c r="F115" s="50">
        <v>50</v>
      </c>
    </row>
    <row r="116" spans="1:6" ht="20.100000000000001" customHeight="1">
      <c r="A116" s="44">
        <v>113</v>
      </c>
      <c r="B116" s="45">
        <v>2010</v>
      </c>
      <c r="C116" s="47" t="s">
        <v>1233</v>
      </c>
      <c r="D116" s="45" t="s">
        <v>135</v>
      </c>
      <c r="E116" s="45" t="s">
        <v>1259</v>
      </c>
      <c r="F116" s="50">
        <v>40</v>
      </c>
    </row>
    <row r="117" spans="1:6" ht="20.100000000000001" customHeight="1">
      <c r="A117" s="44">
        <v>114</v>
      </c>
      <c r="B117" s="45">
        <v>2010</v>
      </c>
      <c r="C117" s="47" t="s">
        <v>1233</v>
      </c>
      <c r="D117" s="45" t="s">
        <v>137</v>
      </c>
      <c r="E117" s="45" t="s">
        <v>1261</v>
      </c>
      <c r="F117" s="50">
        <v>50</v>
      </c>
    </row>
    <row r="118" spans="1:6" ht="20.100000000000001" customHeight="1">
      <c r="A118" s="44">
        <v>115</v>
      </c>
      <c r="B118" s="45">
        <v>2010</v>
      </c>
      <c r="C118" s="47" t="s">
        <v>1233</v>
      </c>
      <c r="D118" s="45" t="s">
        <v>138</v>
      </c>
      <c r="E118" s="45" t="s">
        <v>1262</v>
      </c>
      <c r="F118" s="50">
        <v>50</v>
      </c>
    </row>
    <row r="119" spans="1:6" ht="20.100000000000001" customHeight="1">
      <c r="A119" s="44">
        <v>116</v>
      </c>
      <c r="B119" s="45">
        <v>2010</v>
      </c>
      <c r="C119" s="47" t="s">
        <v>1233</v>
      </c>
      <c r="D119" s="45" t="s">
        <v>134</v>
      </c>
      <c r="E119" s="45" t="s">
        <v>1258</v>
      </c>
      <c r="F119" s="50">
        <v>50</v>
      </c>
    </row>
    <row r="120" spans="1:6" ht="20.100000000000001" customHeight="1">
      <c r="A120" s="44">
        <v>117</v>
      </c>
      <c r="B120" s="45">
        <v>2010</v>
      </c>
      <c r="C120" s="47" t="s">
        <v>1233</v>
      </c>
      <c r="D120" s="45" t="s">
        <v>139</v>
      </c>
      <c r="E120" s="45" t="s">
        <v>1263</v>
      </c>
      <c r="F120" s="50">
        <v>50</v>
      </c>
    </row>
    <row r="121" spans="1:6" ht="20.100000000000001" customHeight="1">
      <c r="A121" s="44">
        <v>118</v>
      </c>
      <c r="B121" s="45">
        <v>2010</v>
      </c>
      <c r="C121" s="47" t="s">
        <v>1233</v>
      </c>
      <c r="D121" s="45" t="s">
        <v>140</v>
      </c>
      <c r="E121" s="45" t="s">
        <v>1264</v>
      </c>
      <c r="F121" s="50">
        <v>50</v>
      </c>
    </row>
    <row r="122" spans="1:6" ht="20.100000000000001" customHeight="1">
      <c r="A122" s="44">
        <v>119</v>
      </c>
      <c r="B122" s="45">
        <v>2010</v>
      </c>
      <c r="C122" s="47" t="s">
        <v>1233</v>
      </c>
      <c r="D122" s="45" t="s">
        <v>141</v>
      </c>
      <c r="E122" s="45" t="s">
        <v>2370</v>
      </c>
      <c r="F122" s="50">
        <v>50</v>
      </c>
    </row>
    <row r="123" spans="1:6" ht="20.100000000000001" customHeight="1">
      <c r="A123" s="44">
        <v>120</v>
      </c>
      <c r="B123" s="45">
        <v>2010</v>
      </c>
      <c r="C123" s="47" t="s">
        <v>1233</v>
      </c>
      <c r="D123" s="45" t="s">
        <v>142</v>
      </c>
      <c r="E123" s="45" t="s">
        <v>1265</v>
      </c>
      <c r="F123" s="50">
        <v>50</v>
      </c>
    </row>
    <row r="124" spans="1:6" ht="20.100000000000001" customHeight="1">
      <c r="A124" s="44">
        <v>121</v>
      </c>
      <c r="B124" s="45">
        <v>2010</v>
      </c>
      <c r="C124" s="47" t="s">
        <v>1233</v>
      </c>
      <c r="D124" s="45" t="s">
        <v>143</v>
      </c>
      <c r="E124" s="45" t="s">
        <v>1266</v>
      </c>
      <c r="F124" s="50">
        <v>50</v>
      </c>
    </row>
    <row r="125" spans="1:6" ht="20.100000000000001" customHeight="1">
      <c r="A125" s="44">
        <v>122</v>
      </c>
      <c r="B125" s="45">
        <v>2010</v>
      </c>
      <c r="C125" s="47" t="s">
        <v>1233</v>
      </c>
      <c r="D125" s="45" t="s">
        <v>144</v>
      </c>
      <c r="E125" s="45" t="s">
        <v>2371</v>
      </c>
      <c r="F125" s="50">
        <v>40</v>
      </c>
    </row>
    <row r="126" spans="1:6" ht="20.100000000000001" customHeight="1">
      <c r="A126" s="44">
        <v>123</v>
      </c>
      <c r="B126" s="44">
        <v>2010</v>
      </c>
      <c r="C126" s="41" t="s">
        <v>145</v>
      </c>
      <c r="D126" s="44" t="s">
        <v>146</v>
      </c>
      <c r="E126" s="44" t="s">
        <v>1830</v>
      </c>
      <c r="F126" s="50">
        <v>30</v>
      </c>
    </row>
    <row r="127" spans="1:6" ht="20.100000000000001" customHeight="1">
      <c r="A127" s="44">
        <v>124</v>
      </c>
      <c r="B127" s="45">
        <v>2010</v>
      </c>
      <c r="C127" s="47" t="s">
        <v>76</v>
      </c>
      <c r="D127" s="45" t="s">
        <v>980</v>
      </c>
      <c r="E127" s="45" t="s">
        <v>981</v>
      </c>
      <c r="F127" s="50">
        <v>10</v>
      </c>
    </row>
    <row r="128" spans="1:6" ht="20.100000000000001" customHeight="1">
      <c r="A128" s="44">
        <v>125</v>
      </c>
      <c r="B128" s="44">
        <v>2010</v>
      </c>
      <c r="C128" s="41" t="s">
        <v>147</v>
      </c>
      <c r="D128" s="44" t="s">
        <v>148</v>
      </c>
      <c r="E128" s="44" t="s">
        <v>1006</v>
      </c>
      <c r="F128" s="50">
        <v>4.8</v>
      </c>
    </row>
    <row r="129" spans="1:6" ht="20.100000000000001" customHeight="1">
      <c r="A129" s="44">
        <v>126</v>
      </c>
      <c r="B129" s="44">
        <v>2010</v>
      </c>
      <c r="C129" s="41" t="s">
        <v>147</v>
      </c>
      <c r="D129" s="44" t="s">
        <v>150</v>
      </c>
      <c r="E129" s="44" t="s">
        <v>1007</v>
      </c>
      <c r="F129" s="50">
        <v>65</v>
      </c>
    </row>
    <row r="130" spans="1:6" ht="20.100000000000001" customHeight="1">
      <c r="A130" s="44">
        <v>127</v>
      </c>
      <c r="B130" s="44">
        <v>2010</v>
      </c>
      <c r="C130" s="41" t="s">
        <v>147</v>
      </c>
      <c r="D130" s="44" t="s">
        <v>149</v>
      </c>
      <c r="E130" s="44" t="s">
        <v>1011</v>
      </c>
      <c r="F130" s="50">
        <v>5</v>
      </c>
    </row>
    <row r="131" spans="1:6" ht="20.100000000000001" customHeight="1">
      <c r="A131" s="44">
        <v>128</v>
      </c>
      <c r="B131" s="45">
        <v>2010</v>
      </c>
      <c r="C131" s="47" t="s">
        <v>55</v>
      </c>
      <c r="D131" s="45" t="s">
        <v>151</v>
      </c>
      <c r="E131" s="45" t="s">
        <v>1718</v>
      </c>
      <c r="F131" s="50">
        <v>186</v>
      </c>
    </row>
    <row r="132" spans="1:6" ht="20.100000000000001" customHeight="1">
      <c r="A132" s="44">
        <v>129</v>
      </c>
      <c r="B132" s="45">
        <v>2010</v>
      </c>
      <c r="C132" s="47" t="s">
        <v>55</v>
      </c>
      <c r="D132" s="45" t="s">
        <v>153</v>
      </c>
      <c r="E132" s="45" t="s">
        <v>1720</v>
      </c>
      <c r="F132" s="50">
        <v>15</v>
      </c>
    </row>
    <row r="133" spans="1:6" ht="20.100000000000001" customHeight="1">
      <c r="A133" s="44">
        <v>130</v>
      </c>
      <c r="B133" s="45">
        <v>2010</v>
      </c>
      <c r="C133" s="47" t="s">
        <v>55</v>
      </c>
      <c r="D133" s="45" t="s">
        <v>152</v>
      </c>
      <c r="E133" s="45" t="s">
        <v>1719</v>
      </c>
      <c r="F133" s="50">
        <v>20</v>
      </c>
    </row>
    <row r="134" spans="1:6" ht="20.100000000000001" customHeight="1">
      <c r="A134" s="44">
        <v>131</v>
      </c>
      <c r="B134" s="45">
        <v>2010</v>
      </c>
      <c r="C134" s="47" t="s">
        <v>8</v>
      </c>
      <c r="D134" s="45" t="s">
        <v>154</v>
      </c>
      <c r="E134" s="45" t="s">
        <v>1267</v>
      </c>
      <c r="F134" s="50">
        <v>10</v>
      </c>
    </row>
    <row r="135" spans="1:6" ht="20.100000000000001" customHeight="1">
      <c r="A135" s="44">
        <v>132</v>
      </c>
      <c r="B135" s="45">
        <v>2010</v>
      </c>
      <c r="C135" s="47" t="s">
        <v>8</v>
      </c>
      <c r="D135" s="45" t="s">
        <v>155</v>
      </c>
      <c r="E135" s="45" t="s">
        <v>1269</v>
      </c>
      <c r="F135" s="50">
        <v>10</v>
      </c>
    </row>
    <row r="136" spans="1:6" ht="20.100000000000001" customHeight="1">
      <c r="A136" s="44">
        <v>133</v>
      </c>
      <c r="B136" s="45">
        <v>2010</v>
      </c>
      <c r="C136" s="47" t="s">
        <v>8</v>
      </c>
      <c r="D136" s="45" t="s">
        <v>1460</v>
      </c>
      <c r="E136" s="45" t="s">
        <v>1268</v>
      </c>
      <c r="F136" s="50">
        <v>10</v>
      </c>
    </row>
    <row r="137" spans="1:6" ht="20.100000000000001" customHeight="1">
      <c r="A137" s="44">
        <v>134</v>
      </c>
      <c r="B137" s="45">
        <v>2010</v>
      </c>
      <c r="C137" s="47" t="s">
        <v>23</v>
      </c>
      <c r="D137" s="45" t="s">
        <v>159</v>
      </c>
      <c r="E137" s="45" t="s">
        <v>2796</v>
      </c>
      <c r="F137" s="50">
        <v>5</v>
      </c>
    </row>
    <row r="138" spans="1:6" ht="20.100000000000001" customHeight="1">
      <c r="A138" s="44">
        <v>135</v>
      </c>
      <c r="B138" s="45">
        <v>2010</v>
      </c>
      <c r="C138" s="47" t="s">
        <v>23</v>
      </c>
      <c r="D138" s="45" t="s">
        <v>160</v>
      </c>
      <c r="E138" s="45" t="s">
        <v>2797</v>
      </c>
      <c r="F138" s="50">
        <v>5</v>
      </c>
    </row>
    <row r="139" spans="1:6" ht="20.100000000000001" customHeight="1">
      <c r="A139" s="44">
        <v>136</v>
      </c>
      <c r="B139" s="45">
        <v>2010</v>
      </c>
      <c r="C139" s="47" t="s">
        <v>23</v>
      </c>
      <c r="D139" s="45" t="s">
        <v>157</v>
      </c>
      <c r="E139" s="45" t="s">
        <v>2798</v>
      </c>
      <c r="F139" s="50">
        <v>10</v>
      </c>
    </row>
    <row r="140" spans="1:6" ht="20.100000000000001" customHeight="1">
      <c r="A140" s="44">
        <v>137</v>
      </c>
      <c r="B140" s="45">
        <v>2010</v>
      </c>
      <c r="C140" s="47" t="s">
        <v>23</v>
      </c>
      <c r="D140" s="45" t="s">
        <v>156</v>
      </c>
      <c r="E140" s="45" t="s">
        <v>2799</v>
      </c>
      <c r="F140" s="50">
        <v>20</v>
      </c>
    </row>
    <row r="141" spans="1:6" ht="20.100000000000001" customHeight="1">
      <c r="A141" s="44">
        <v>138</v>
      </c>
      <c r="B141" s="45">
        <v>2010</v>
      </c>
      <c r="C141" s="47" t="s">
        <v>23</v>
      </c>
      <c r="D141" s="45" t="s">
        <v>158</v>
      </c>
      <c r="E141" s="45" t="s">
        <v>2800</v>
      </c>
      <c r="F141" s="50">
        <v>10</v>
      </c>
    </row>
    <row r="142" spans="1:6" ht="20.100000000000001" customHeight="1">
      <c r="A142" s="44">
        <v>139</v>
      </c>
      <c r="B142" s="45">
        <v>2010</v>
      </c>
      <c r="C142" s="47" t="s">
        <v>23</v>
      </c>
      <c r="D142" s="45" t="s">
        <v>2538</v>
      </c>
      <c r="E142" s="45" t="s">
        <v>2801</v>
      </c>
      <c r="F142" s="50">
        <v>10</v>
      </c>
    </row>
    <row r="143" spans="1:6" ht="20.100000000000001" customHeight="1">
      <c r="A143" s="44">
        <v>140</v>
      </c>
      <c r="B143" s="44">
        <v>2010</v>
      </c>
      <c r="C143" s="41" t="s">
        <v>86</v>
      </c>
      <c r="D143" s="44" t="s">
        <v>164</v>
      </c>
      <c r="E143" s="44" t="s">
        <v>1848</v>
      </c>
      <c r="F143" s="50">
        <v>10</v>
      </c>
    </row>
    <row r="144" spans="1:6" ht="20.100000000000001" customHeight="1">
      <c r="A144" s="44">
        <v>141</v>
      </c>
      <c r="B144" s="45">
        <v>2010</v>
      </c>
      <c r="C144" s="47" t="s">
        <v>86</v>
      </c>
      <c r="D144" s="45" t="s">
        <v>161</v>
      </c>
      <c r="E144" s="45" t="s">
        <v>1845</v>
      </c>
      <c r="F144" s="50">
        <v>20</v>
      </c>
    </row>
    <row r="145" spans="1:6" ht="20.100000000000001" customHeight="1">
      <c r="A145" s="44">
        <v>142</v>
      </c>
      <c r="B145" s="44">
        <v>2010</v>
      </c>
      <c r="C145" s="41" t="s">
        <v>86</v>
      </c>
      <c r="D145" s="44" t="s">
        <v>165</v>
      </c>
      <c r="E145" s="44" t="s">
        <v>1849</v>
      </c>
      <c r="F145" s="50">
        <v>10</v>
      </c>
    </row>
    <row r="146" spans="1:6" ht="20.100000000000001" customHeight="1">
      <c r="A146" s="44">
        <v>143</v>
      </c>
      <c r="B146" s="44">
        <v>2010</v>
      </c>
      <c r="C146" s="41" t="s">
        <v>86</v>
      </c>
      <c r="D146" s="44" t="s">
        <v>162</v>
      </c>
      <c r="E146" s="44" t="s">
        <v>1846</v>
      </c>
      <c r="F146" s="50">
        <v>20</v>
      </c>
    </row>
    <row r="147" spans="1:6" ht="20.100000000000001" customHeight="1">
      <c r="A147" s="44">
        <v>144</v>
      </c>
      <c r="B147" s="44">
        <v>2010</v>
      </c>
      <c r="C147" s="41" t="s">
        <v>86</v>
      </c>
      <c r="D147" s="44" t="s">
        <v>163</v>
      </c>
      <c r="E147" s="44" t="s">
        <v>1847</v>
      </c>
      <c r="F147" s="50">
        <v>20</v>
      </c>
    </row>
    <row r="148" spans="1:6" ht="20.100000000000001" customHeight="1">
      <c r="A148" s="44">
        <v>145</v>
      </c>
      <c r="B148" s="44">
        <v>2010</v>
      </c>
      <c r="C148" s="41" t="s">
        <v>14</v>
      </c>
      <c r="D148" s="44" t="s">
        <v>166</v>
      </c>
      <c r="E148" s="44" t="s">
        <v>1270</v>
      </c>
      <c r="F148" s="50">
        <v>20</v>
      </c>
    </row>
    <row r="149" spans="1:6" ht="20.100000000000001" customHeight="1">
      <c r="A149" s="44">
        <v>146</v>
      </c>
      <c r="B149" s="44">
        <v>2010</v>
      </c>
      <c r="C149" s="41" t="s">
        <v>14</v>
      </c>
      <c r="D149" s="44" t="s">
        <v>167</v>
      </c>
      <c r="E149" s="44" t="s">
        <v>1271</v>
      </c>
      <c r="F149" s="50">
        <v>10</v>
      </c>
    </row>
    <row r="150" spans="1:6" ht="20.100000000000001" customHeight="1">
      <c r="A150" s="44">
        <v>147</v>
      </c>
      <c r="B150" s="45">
        <v>2010</v>
      </c>
      <c r="C150" s="47" t="s">
        <v>43</v>
      </c>
      <c r="D150" s="45" t="s">
        <v>168</v>
      </c>
      <c r="E150" s="45" t="s">
        <v>1173</v>
      </c>
      <c r="F150" s="50">
        <v>5</v>
      </c>
    </row>
    <row r="151" spans="1:6" ht="20.100000000000001" customHeight="1">
      <c r="A151" s="44">
        <v>148</v>
      </c>
      <c r="B151" s="44">
        <v>2010</v>
      </c>
      <c r="C151" s="41" t="s">
        <v>1491</v>
      </c>
      <c r="D151" s="44" t="s">
        <v>171</v>
      </c>
      <c r="E151" s="44" t="s">
        <v>1511</v>
      </c>
      <c r="F151" s="50">
        <v>20</v>
      </c>
    </row>
    <row r="152" spans="1:6" ht="20.100000000000001" customHeight="1">
      <c r="A152" s="44">
        <v>149</v>
      </c>
      <c r="B152" s="44">
        <v>2010</v>
      </c>
      <c r="C152" s="41" t="s">
        <v>1491</v>
      </c>
      <c r="D152" s="44" t="s">
        <v>169</v>
      </c>
      <c r="E152" s="44" t="s">
        <v>1509</v>
      </c>
      <c r="F152" s="50">
        <v>10</v>
      </c>
    </row>
    <row r="153" spans="1:6" ht="20.100000000000001" customHeight="1">
      <c r="A153" s="44">
        <v>150</v>
      </c>
      <c r="B153" s="44">
        <v>2010</v>
      </c>
      <c r="C153" s="41" t="s">
        <v>1491</v>
      </c>
      <c r="D153" s="44" t="s">
        <v>170</v>
      </c>
      <c r="E153" s="44" t="s">
        <v>1510</v>
      </c>
      <c r="F153" s="50">
        <v>20</v>
      </c>
    </row>
    <row r="154" spans="1:6" ht="20.100000000000001" customHeight="1">
      <c r="A154" s="44">
        <v>151</v>
      </c>
      <c r="B154" s="44">
        <v>2010</v>
      </c>
      <c r="C154" s="41" t="s">
        <v>70</v>
      </c>
      <c r="D154" s="44" t="s">
        <v>1512</v>
      </c>
      <c r="E154" s="44" t="s">
        <v>1513</v>
      </c>
      <c r="F154" s="50">
        <v>32</v>
      </c>
    </row>
    <row r="155" spans="1:6" ht="20.100000000000001" customHeight="1">
      <c r="A155" s="44">
        <v>152</v>
      </c>
      <c r="B155" s="44">
        <v>2010</v>
      </c>
      <c r="C155" s="41" t="s">
        <v>1491</v>
      </c>
      <c r="D155" s="44" t="s">
        <v>172</v>
      </c>
      <c r="E155" s="44" t="s">
        <v>1514</v>
      </c>
      <c r="F155" s="50">
        <v>20</v>
      </c>
    </row>
    <row r="156" spans="1:6" ht="20.100000000000001" customHeight="1">
      <c r="A156" s="44">
        <v>153</v>
      </c>
      <c r="B156" s="44">
        <v>2010</v>
      </c>
      <c r="C156" s="41" t="s">
        <v>2474</v>
      </c>
      <c r="D156" s="44" t="s">
        <v>1515</v>
      </c>
      <c r="E156" s="44" t="s">
        <v>1516</v>
      </c>
      <c r="F156" s="50">
        <v>15</v>
      </c>
    </row>
    <row r="157" spans="1:6" ht="20.100000000000001" customHeight="1">
      <c r="A157" s="44">
        <v>154</v>
      </c>
      <c r="B157" s="45">
        <v>2010</v>
      </c>
      <c r="C157" s="45" t="s">
        <v>13</v>
      </c>
      <c r="D157" s="39" t="s">
        <v>173</v>
      </c>
      <c r="E157" s="39" t="s">
        <v>943</v>
      </c>
      <c r="F157" s="50">
        <v>10</v>
      </c>
    </row>
    <row r="158" spans="1:6" ht="20.100000000000001" customHeight="1">
      <c r="A158" s="44">
        <v>155</v>
      </c>
      <c r="B158" s="45">
        <v>2010</v>
      </c>
      <c r="C158" s="45" t="s">
        <v>13</v>
      </c>
      <c r="D158" s="39" t="s">
        <v>174</v>
      </c>
      <c r="E158" s="39" t="s">
        <v>941</v>
      </c>
      <c r="F158" s="50">
        <v>10</v>
      </c>
    </row>
    <row r="159" spans="1:6" ht="20.100000000000001" customHeight="1">
      <c r="A159" s="44">
        <v>156</v>
      </c>
      <c r="B159" s="45">
        <v>2010</v>
      </c>
      <c r="C159" s="47" t="s">
        <v>933</v>
      </c>
      <c r="D159" s="45" t="s">
        <v>939</v>
      </c>
      <c r="E159" s="45" t="s">
        <v>940</v>
      </c>
      <c r="F159" s="50">
        <v>10</v>
      </c>
    </row>
    <row r="160" spans="1:6" ht="20.100000000000001" customHeight="1">
      <c r="A160" s="44">
        <v>157</v>
      </c>
      <c r="B160" s="45">
        <v>2010</v>
      </c>
      <c r="C160" s="47" t="s">
        <v>933</v>
      </c>
      <c r="D160" s="45" t="s">
        <v>934</v>
      </c>
      <c r="E160" s="45" t="s">
        <v>935</v>
      </c>
      <c r="F160" s="50">
        <v>9.6</v>
      </c>
    </row>
    <row r="161" spans="1:6" ht="20.100000000000001" customHeight="1">
      <c r="A161" s="44">
        <v>158</v>
      </c>
      <c r="B161" s="45">
        <v>2010</v>
      </c>
      <c r="C161" s="47" t="s">
        <v>19</v>
      </c>
      <c r="D161" s="45" t="s">
        <v>175</v>
      </c>
      <c r="E161" s="45" t="s">
        <v>1272</v>
      </c>
      <c r="F161" s="50">
        <v>5</v>
      </c>
    </row>
    <row r="162" spans="1:6" ht="20.100000000000001" customHeight="1">
      <c r="A162" s="44">
        <v>159</v>
      </c>
      <c r="B162" s="45">
        <v>2010</v>
      </c>
      <c r="C162" s="47" t="s">
        <v>16</v>
      </c>
      <c r="D162" s="45" t="s">
        <v>1852</v>
      </c>
      <c r="E162" s="45" t="s">
        <v>1853</v>
      </c>
      <c r="F162" s="50">
        <v>10</v>
      </c>
    </row>
    <row r="163" spans="1:6" ht="20.100000000000001" customHeight="1">
      <c r="A163" s="44">
        <v>160</v>
      </c>
      <c r="B163" s="45">
        <v>2010</v>
      </c>
      <c r="C163" s="47" t="s">
        <v>16</v>
      </c>
      <c r="D163" s="45" t="s">
        <v>919</v>
      </c>
      <c r="E163" s="45" t="s">
        <v>1854</v>
      </c>
      <c r="F163" s="50">
        <v>10</v>
      </c>
    </row>
    <row r="164" spans="1:6" ht="20.100000000000001" customHeight="1">
      <c r="A164" s="44">
        <v>161</v>
      </c>
      <c r="B164" s="45">
        <v>2010</v>
      </c>
      <c r="C164" s="47" t="s">
        <v>16</v>
      </c>
      <c r="D164" s="45" t="s">
        <v>176</v>
      </c>
      <c r="E164" s="45" t="s">
        <v>1850</v>
      </c>
      <c r="F164" s="50">
        <v>10</v>
      </c>
    </row>
    <row r="165" spans="1:6" ht="20.100000000000001" customHeight="1">
      <c r="A165" s="44">
        <v>162</v>
      </c>
      <c r="B165" s="45">
        <v>2010</v>
      </c>
      <c r="C165" s="47" t="s">
        <v>16</v>
      </c>
      <c r="D165" s="45" t="s">
        <v>177</v>
      </c>
      <c r="E165" s="45" t="s">
        <v>1851</v>
      </c>
      <c r="F165" s="50">
        <v>10</v>
      </c>
    </row>
    <row r="166" spans="1:6" ht="20.100000000000001" customHeight="1">
      <c r="A166" s="44">
        <v>163</v>
      </c>
      <c r="B166" s="45">
        <v>2010</v>
      </c>
      <c r="C166" s="47" t="s">
        <v>64</v>
      </c>
      <c r="D166" s="45" t="s">
        <v>1761</v>
      </c>
      <c r="E166" s="45" t="s">
        <v>1762</v>
      </c>
      <c r="F166" s="50">
        <v>50.4</v>
      </c>
    </row>
    <row r="167" spans="1:6" ht="20.100000000000001" customHeight="1">
      <c r="A167" s="44">
        <v>164</v>
      </c>
      <c r="B167" s="44">
        <v>2010</v>
      </c>
      <c r="C167" s="41" t="s">
        <v>104</v>
      </c>
      <c r="D167" s="44" t="s">
        <v>178</v>
      </c>
      <c r="E167" s="44" t="s">
        <v>1517</v>
      </c>
      <c r="F167" s="50">
        <v>5</v>
      </c>
    </row>
    <row r="168" spans="1:6" ht="20.100000000000001" customHeight="1">
      <c r="A168" s="44">
        <v>165</v>
      </c>
      <c r="B168" s="44">
        <v>2010</v>
      </c>
      <c r="C168" s="41" t="s">
        <v>104</v>
      </c>
      <c r="D168" s="44" t="s">
        <v>179</v>
      </c>
      <c r="E168" s="44" t="s">
        <v>1518</v>
      </c>
      <c r="F168" s="50">
        <v>5</v>
      </c>
    </row>
    <row r="169" spans="1:6" ht="20.100000000000001" customHeight="1">
      <c r="A169" s="44">
        <v>166</v>
      </c>
      <c r="B169" s="44">
        <v>2010</v>
      </c>
      <c r="C169" s="41" t="s">
        <v>104</v>
      </c>
      <c r="D169" s="44" t="s">
        <v>180</v>
      </c>
      <c r="E169" s="44" t="s">
        <v>1519</v>
      </c>
      <c r="F169" s="50">
        <v>5</v>
      </c>
    </row>
    <row r="170" spans="1:6" ht="20.100000000000001" customHeight="1">
      <c r="A170" s="44">
        <v>167</v>
      </c>
      <c r="B170" s="44">
        <v>2010</v>
      </c>
      <c r="C170" s="41" t="s">
        <v>104</v>
      </c>
      <c r="D170" s="44" t="s">
        <v>181</v>
      </c>
      <c r="E170" s="44" t="s">
        <v>1520</v>
      </c>
      <c r="F170" s="50">
        <v>10</v>
      </c>
    </row>
    <row r="171" spans="1:6" ht="20.100000000000001" customHeight="1">
      <c r="A171" s="44">
        <v>168</v>
      </c>
      <c r="B171" s="44">
        <v>2010</v>
      </c>
      <c r="C171" s="41" t="s">
        <v>31</v>
      </c>
      <c r="D171" s="44" t="s">
        <v>182</v>
      </c>
      <c r="E171" s="44" t="s">
        <v>1687</v>
      </c>
      <c r="F171" s="50">
        <v>10</v>
      </c>
    </row>
    <row r="172" spans="1:6" ht="20.100000000000001" customHeight="1">
      <c r="A172" s="44">
        <v>169</v>
      </c>
      <c r="B172" s="44">
        <v>2010</v>
      </c>
      <c r="C172" s="41" t="s">
        <v>31</v>
      </c>
      <c r="D172" s="44" t="s">
        <v>184</v>
      </c>
      <c r="E172" s="44" t="s">
        <v>1688</v>
      </c>
      <c r="F172" s="50">
        <v>10</v>
      </c>
    </row>
    <row r="173" spans="1:6" ht="20.100000000000001" customHeight="1">
      <c r="A173" s="44">
        <v>170</v>
      </c>
      <c r="B173" s="44">
        <v>2010</v>
      </c>
      <c r="C173" s="41" t="s">
        <v>31</v>
      </c>
      <c r="D173" s="44" t="s">
        <v>183</v>
      </c>
      <c r="E173" s="44" t="s">
        <v>2376</v>
      </c>
      <c r="F173" s="50">
        <v>10</v>
      </c>
    </row>
    <row r="174" spans="1:6" ht="20.100000000000001" customHeight="1">
      <c r="A174" s="44">
        <v>171</v>
      </c>
      <c r="B174" s="44">
        <v>2010</v>
      </c>
      <c r="C174" s="41" t="s">
        <v>31</v>
      </c>
      <c r="D174" s="44" t="s">
        <v>185</v>
      </c>
      <c r="E174" s="44" t="s">
        <v>1037</v>
      </c>
      <c r="F174" s="50">
        <v>10</v>
      </c>
    </row>
    <row r="175" spans="1:6" ht="20.100000000000001" customHeight="1">
      <c r="A175" s="44">
        <v>172</v>
      </c>
      <c r="B175" s="45">
        <v>2010</v>
      </c>
      <c r="C175" s="47" t="s">
        <v>34</v>
      </c>
      <c r="D175" s="45" t="s">
        <v>186</v>
      </c>
      <c r="E175" s="45" t="s">
        <v>1855</v>
      </c>
      <c r="F175" s="50">
        <v>10</v>
      </c>
    </row>
    <row r="176" spans="1:6" ht="20.100000000000001" customHeight="1">
      <c r="A176" s="44">
        <v>173</v>
      </c>
      <c r="B176" s="44">
        <v>2010</v>
      </c>
      <c r="C176" s="41" t="s">
        <v>33</v>
      </c>
      <c r="D176" s="44" t="s">
        <v>187</v>
      </c>
      <c r="E176" s="44" t="s">
        <v>1521</v>
      </c>
      <c r="F176" s="50">
        <v>17</v>
      </c>
    </row>
    <row r="177" spans="1:6" ht="20.100000000000001" customHeight="1">
      <c r="A177" s="44">
        <v>174</v>
      </c>
      <c r="B177" s="44">
        <v>2010</v>
      </c>
      <c r="C177" s="41" t="s">
        <v>33</v>
      </c>
      <c r="D177" s="44" t="s">
        <v>188</v>
      </c>
      <c r="E177" s="44" t="s">
        <v>1522</v>
      </c>
      <c r="F177" s="50">
        <v>10.8</v>
      </c>
    </row>
    <row r="178" spans="1:6" ht="20.100000000000001" customHeight="1">
      <c r="A178" s="44">
        <v>175</v>
      </c>
      <c r="B178" s="44">
        <v>2010</v>
      </c>
      <c r="C178" s="41" t="s">
        <v>6</v>
      </c>
      <c r="D178" s="44" t="s">
        <v>189</v>
      </c>
      <c r="E178" s="44" t="s">
        <v>1273</v>
      </c>
      <c r="F178" s="50">
        <v>20</v>
      </c>
    </row>
    <row r="179" spans="1:6" ht="20.100000000000001" customHeight="1">
      <c r="A179" s="44">
        <v>176</v>
      </c>
      <c r="B179" s="44">
        <v>2010</v>
      </c>
      <c r="C179" s="41" t="s">
        <v>3</v>
      </c>
      <c r="D179" s="44" t="s">
        <v>190</v>
      </c>
      <c r="E179" s="44" t="s">
        <v>1100</v>
      </c>
      <c r="F179" s="50">
        <v>21.33</v>
      </c>
    </row>
    <row r="180" spans="1:6" ht="20.100000000000001" customHeight="1">
      <c r="A180" s="44">
        <v>177</v>
      </c>
      <c r="B180" s="44">
        <v>2010</v>
      </c>
      <c r="C180" s="41" t="s">
        <v>3</v>
      </c>
      <c r="D180" s="44" t="s">
        <v>191</v>
      </c>
      <c r="E180" s="44" t="s">
        <v>1101</v>
      </c>
      <c r="F180" s="50">
        <v>3</v>
      </c>
    </row>
    <row r="181" spans="1:6" ht="20.100000000000001" customHeight="1">
      <c r="A181" s="44">
        <v>178</v>
      </c>
      <c r="B181" s="44">
        <v>2010</v>
      </c>
      <c r="C181" s="41" t="s">
        <v>56</v>
      </c>
      <c r="D181" s="44" t="s">
        <v>193</v>
      </c>
      <c r="E181" s="44" t="s">
        <v>1731</v>
      </c>
      <c r="F181" s="50">
        <v>3</v>
      </c>
    </row>
    <row r="182" spans="1:6" ht="20.100000000000001" customHeight="1">
      <c r="A182" s="44">
        <v>179</v>
      </c>
      <c r="B182" s="44">
        <v>2010</v>
      </c>
      <c r="C182" s="41" t="s">
        <v>56</v>
      </c>
      <c r="D182" s="44" t="s">
        <v>192</v>
      </c>
      <c r="E182" s="44" t="s">
        <v>1730</v>
      </c>
      <c r="F182" s="50">
        <v>40.5</v>
      </c>
    </row>
    <row r="183" spans="1:6" ht="20.100000000000001" customHeight="1">
      <c r="A183" s="44">
        <v>180</v>
      </c>
      <c r="B183" s="44">
        <v>2010</v>
      </c>
      <c r="C183" s="41" t="s">
        <v>57</v>
      </c>
      <c r="D183" s="44" t="s">
        <v>195</v>
      </c>
      <c r="E183" s="44" t="s">
        <v>1122</v>
      </c>
      <c r="F183" s="50">
        <v>20</v>
      </c>
    </row>
    <row r="184" spans="1:6" ht="20.100000000000001" customHeight="1">
      <c r="A184" s="44">
        <v>181</v>
      </c>
      <c r="B184" s="44">
        <v>2010</v>
      </c>
      <c r="C184" s="41" t="s">
        <v>57</v>
      </c>
      <c r="D184" s="44" t="s">
        <v>1145</v>
      </c>
      <c r="E184" s="44" t="s">
        <v>1146</v>
      </c>
      <c r="F184" s="50">
        <v>9.6</v>
      </c>
    </row>
    <row r="185" spans="1:6" ht="20.100000000000001" customHeight="1">
      <c r="A185" s="44">
        <v>182</v>
      </c>
      <c r="B185" s="44">
        <v>2010</v>
      </c>
      <c r="C185" s="41" t="s">
        <v>57</v>
      </c>
      <c r="D185" s="44" t="s">
        <v>1231</v>
      </c>
      <c r="E185" s="44" t="s">
        <v>1114</v>
      </c>
      <c r="F185" s="50">
        <v>45</v>
      </c>
    </row>
    <row r="186" spans="1:6" ht="20.100000000000001" customHeight="1">
      <c r="A186" s="44">
        <v>183</v>
      </c>
      <c r="B186" s="44">
        <v>2010</v>
      </c>
      <c r="C186" s="41" t="s">
        <v>57</v>
      </c>
      <c r="D186" s="44" t="s">
        <v>194</v>
      </c>
      <c r="E186" s="44" t="s">
        <v>1121</v>
      </c>
      <c r="F186" s="50">
        <v>5</v>
      </c>
    </row>
    <row r="187" spans="1:6" ht="20.100000000000001" customHeight="1">
      <c r="A187" s="44">
        <v>184</v>
      </c>
      <c r="B187" s="44">
        <v>2010</v>
      </c>
      <c r="C187" s="41" t="s">
        <v>57</v>
      </c>
      <c r="D187" s="44" t="s">
        <v>196</v>
      </c>
      <c r="E187" s="44" t="s">
        <v>1120</v>
      </c>
      <c r="F187" s="50">
        <v>13</v>
      </c>
    </row>
    <row r="188" spans="1:6" ht="20.100000000000001" customHeight="1">
      <c r="A188" s="44">
        <v>185</v>
      </c>
      <c r="B188" s="44">
        <v>2011</v>
      </c>
      <c r="C188" s="41" t="s">
        <v>40</v>
      </c>
      <c r="D188" s="44" t="s">
        <v>198</v>
      </c>
      <c r="E188" s="44" t="s">
        <v>1818</v>
      </c>
      <c r="F188" s="50">
        <v>40</v>
      </c>
    </row>
    <row r="189" spans="1:6" ht="20.100000000000001" customHeight="1">
      <c r="A189" s="44">
        <v>186</v>
      </c>
      <c r="B189" s="44">
        <v>2011</v>
      </c>
      <c r="C189" s="41" t="s">
        <v>2477</v>
      </c>
      <c r="D189" s="44" t="s">
        <v>197</v>
      </c>
      <c r="E189" s="44" t="s">
        <v>1817</v>
      </c>
      <c r="F189" s="50">
        <v>25</v>
      </c>
    </row>
    <row r="190" spans="1:6" ht="20.100000000000001" customHeight="1">
      <c r="A190" s="44">
        <v>187</v>
      </c>
      <c r="B190" s="44">
        <v>2011</v>
      </c>
      <c r="C190" s="41" t="s">
        <v>44</v>
      </c>
      <c r="D190" s="44" t="s">
        <v>199</v>
      </c>
      <c r="E190" s="44" t="s">
        <v>1039</v>
      </c>
      <c r="F190" s="50">
        <v>15</v>
      </c>
    </row>
    <row r="191" spans="1:6" ht="20.100000000000001" customHeight="1">
      <c r="A191" s="44">
        <v>188</v>
      </c>
      <c r="B191" s="44">
        <v>2011</v>
      </c>
      <c r="C191" s="41" t="s">
        <v>122</v>
      </c>
      <c r="D191" s="44" t="s">
        <v>200</v>
      </c>
      <c r="E191" s="44" t="s">
        <v>1920</v>
      </c>
      <c r="F191" s="50">
        <v>22</v>
      </c>
    </row>
    <row r="192" spans="1:6" ht="20.100000000000001" customHeight="1">
      <c r="A192" s="44">
        <v>189</v>
      </c>
      <c r="B192" s="44">
        <v>2011</v>
      </c>
      <c r="C192" s="41" t="s">
        <v>47</v>
      </c>
      <c r="D192" s="44" t="s">
        <v>201</v>
      </c>
      <c r="E192" s="44" t="s">
        <v>1485</v>
      </c>
      <c r="F192" s="50">
        <v>75.599999999999994</v>
      </c>
    </row>
    <row r="193" spans="1:6" ht="20.100000000000001" customHeight="1">
      <c r="A193" s="44">
        <v>190</v>
      </c>
      <c r="B193" s="45">
        <v>2011</v>
      </c>
      <c r="C193" s="47" t="s">
        <v>2071</v>
      </c>
      <c r="D193" s="45" t="s">
        <v>1022</v>
      </c>
      <c r="E193" s="45" t="s">
        <v>1023</v>
      </c>
      <c r="F193" s="50">
        <v>200</v>
      </c>
    </row>
    <row r="194" spans="1:6" ht="20.100000000000001" customHeight="1">
      <c r="A194" s="44">
        <v>191</v>
      </c>
      <c r="B194" s="44">
        <v>2011</v>
      </c>
      <c r="C194" s="41" t="s">
        <v>202</v>
      </c>
      <c r="D194" s="44" t="s">
        <v>203</v>
      </c>
      <c r="E194" s="44" t="s">
        <v>1274</v>
      </c>
      <c r="F194" s="50">
        <v>50</v>
      </c>
    </row>
    <row r="195" spans="1:6" ht="20.100000000000001" customHeight="1">
      <c r="A195" s="44">
        <v>192</v>
      </c>
      <c r="B195" s="45">
        <v>2011</v>
      </c>
      <c r="C195" s="47" t="s">
        <v>12</v>
      </c>
      <c r="D195" s="45" t="s">
        <v>204</v>
      </c>
      <c r="E195" s="45" t="s">
        <v>2871</v>
      </c>
      <c r="F195" s="50">
        <v>2.4</v>
      </c>
    </row>
    <row r="196" spans="1:6" ht="20.100000000000001" customHeight="1">
      <c r="A196" s="44">
        <v>193</v>
      </c>
      <c r="B196" s="45">
        <v>2011</v>
      </c>
      <c r="C196" s="47" t="s">
        <v>1233</v>
      </c>
      <c r="D196" s="45" t="s">
        <v>206</v>
      </c>
      <c r="E196" s="45" t="s">
        <v>1276</v>
      </c>
      <c r="F196" s="50">
        <v>50</v>
      </c>
    </row>
    <row r="197" spans="1:6" ht="20.100000000000001" customHeight="1">
      <c r="A197" s="44">
        <v>194</v>
      </c>
      <c r="B197" s="45">
        <v>2011</v>
      </c>
      <c r="C197" s="47" t="s">
        <v>1233</v>
      </c>
      <c r="D197" s="45" t="s">
        <v>207</v>
      </c>
      <c r="E197" s="45" t="s">
        <v>1277</v>
      </c>
      <c r="F197" s="50">
        <v>40</v>
      </c>
    </row>
    <row r="198" spans="1:6" ht="20.100000000000001" customHeight="1">
      <c r="A198" s="44">
        <v>195</v>
      </c>
      <c r="B198" s="45">
        <v>2011</v>
      </c>
      <c r="C198" s="47" t="s">
        <v>1233</v>
      </c>
      <c r="D198" s="45" t="s">
        <v>208</v>
      </c>
      <c r="E198" s="45" t="s">
        <v>1278</v>
      </c>
      <c r="F198" s="50">
        <v>50</v>
      </c>
    </row>
    <row r="199" spans="1:6" ht="20.100000000000001" customHeight="1">
      <c r="A199" s="44">
        <v>196</v>
      </c>
      <c r="B199" s="45">
        <v>2011</v>
      </c>
      <c r="C199" s="47" t="s">
        <v>1233</v>
      </c>
      <c r="D199" s="45" t="s">
        <v>205</v>
      </c>
      <c r="E199" s="45" t="s">
        <v>1275</v>
      </c>
      <c r="F199" s="50">
        <v>40</v>
      </c>
    </row>
    <row r="200" spans="1:6" ht="20.100000000000001" customHeight="1">
      <c r="A200" s="44">
        <v>197</v>
      </c>
      <c r="B200" s="45">
        <v>2011</v>
      </c>
      <c r="C200" s="47" t="s">
        <v>209</v>
      </c>
      <c r="D200" s="45" t="s">
        <v>210</v>
      </c>
      <c r="E200" s="45" t="s">
        <v>1279</v>
      </c>
      <c r="F200" s="50">
        <v>110</v>
      </c>
    </row>
    <row r="201" spans="1:6" ht="20.100000000000001" customHeight="1">
      <c r="A201" s="44">
        <v>198</v>
      </c>
      <c r="B201" s="45">
        <v>2011</v>
      </c>
      <c r="C201" s="47" t="s">
        <v>76</v>
      </c>
      <c r="D201" s="45" t="s">
        <v>211</v>
      </c>
      <c r="E201" s="45" t="s">
        <v>986</v>
      </c>
      <c r="F201" s="50">
        <v>4.4000000000000004</v>
      </c>
    </row>
    <row r="202" spans="1:6" ht="20.100000000000001" customHeight="1">
      <c r="A202" s="44">
        <v>199</v>
      </c>
      <c r="B202" s="45">
        <v>2011</v>
      </c>
      <c r="C202" s="47" t="s">
        <v>23</v>
      </c>
      <c r="D202" s="45" t="s">
        <v>2802</v>
      </c>
      <c r="E202" s="45" t="s">
        <v>2803</v>
      </c>
      <c r="F202" s="50">
        <v>13</v>
      </c>
    </row>
    <row r="203" spans="1:6" ht="20.100000000000001" customHeight="1">
      <c r="A203" s="44">
        <v>200</v>
      </c>
      <c r="B203" s="45">
        <v>2011</v>
      </c>
      <c r="C203" s="47" t="s">
        <v>23</v>
      </c>
      <c r="D203" s="45" t="s">
        <v>2804</v>
      </c>
      <c r="E203" s="45" t="s">
        <v>2805</v>
      </c>
      <c r="F203" s="50">
        <v>6</v>
      </c>
    </row>
    <row r="204" spans="1:6" ht="20.100000000000001" customHeight="1">
      <c r="A204" s="44">
        <v>201</v>
      </c>
      <c r="B204" s="44">
        <v>2011</v>
      </c>
      <c r="C204" s="41" t="s">
        <v>86</v>
      </c>
      <c r="D204" s="44" t="s">
        <v>212</v>
      </c>
      <c r="E204" s="44" t="s">
        <v>1858</v>
      </c>
      <c r="F204" s="50">
        <v>10</v>
      </c>
    </row>
    <row r="205" spans="1:6" ht="20.100000000000001" customHeight="1">
      <c r="A205" s="44">
        <v>202</v>
      </c>
      <c r="B205" s="45">
        <v>2011</v>
      </c>
      <c r="C205" s="47" t="s">
        <v>43</v>
      </c>
      <c r="D205" s="45" t="s">
        <v>213</v>
      </c>
      <c r="E205" s="45" t="s">
        <v>1176</v>
      </c>
      <c r="F205" s="50">
        <v>18.2</v>
      </c>
    </row>
    <row r="206" spans="1:6" ht="20.100000000000001" customHeight="1">
      <c r="A206" s="44">
        <v>203</v>
      </c>
      <c r="B206" s="44">
        <v>2011</v>
      </c>
      <c r="C206" s="41" t="s">
        <v>1491</v>
      </c>
      <c r="D206" s="44" t="s">
        <v>214</v>
      </c>
      <c r="E206" s="44" t="s">
        <v>1523</v>
      </c>
      <c r="F206" s="50">
        <v>10</v>
      </c>
    </row>
    <row r="207" spans="1:6" ht="20.100000000000001" customHeight="1">
      <c r="A207" s="44">
        <v>204</v>
      </c>
      <c r="B207" s="44">
        <v>2011</v>
      </c>
      <c r="C207" s="41" t="s">
        <v>1491</v>
      </c>
      <c r="D207" s="44" t="s">
        <v>215</v>
      </c>
      <c r="E207" s="44" t="s">
        <v>1525</v>
      </c>
      <c r="F207" s="50">
        <v>10</v>
      </c>
    </row>
    <row r="208" spans="1:6" ht="20.100000000000001" customHeight="1">
      <c r="A208" s="44">
        <v>205</v>
      </c>
      <c r="B208" s="44">
        <v>2011</v>
      </c>
      <c r="C208" s="41" t="s">
        <v>1491</v>
      </c>
      <c r="D208" s="44" t="s">
        <v>216</v>
      </c>
      <c r="E208" s="44" t="s">
        <v>1526</v>
      </c>
      <c r="F208" s="50">
        <v>10.56</v>
      </c>
    </row>
    <row r="209" spans="1:6" ht="20.100000000000001" customHeight="1">
      <c r="A209" s="44">
        <v>206</v>
      </c>
      <c r="B209" s="44">
        <v>2011</v>
      </c>
      <c r="C209" s="41" t="s">
        <v>1491</v>
      </c>
      <c r="D209" s="44" t="s">
        <v>1524</v>
      </c>
      <c r="E209" s="44" t="s">
        <v>1494</v>
      </c>
      <c r="F209" s="50">
        <v>11</v>
      </c>
    </row>
    <row r="210" spans="1:6" ht="20.100000000000001" customHeight="1">
      <c r="A210" s="44">
        <v>207</v>
      </c>
      <c r="B210" s="45">
        <v>2011</v>
      </c>
      <c r="C210" s="44" t="s">
        <v>2519</v>
      </c>
      <c r="D210" s="39" t="s">
        <v>2638</v>
      </c>
      <c r="E210" s="39" t="s">
        <v>942</v>
      </c>
      <c r="F210" s="50">
        <v>9.75</v>
      </c>
    </row>
    <row r="211" spans="1:6" ht="20.100000000000001" customHeight="1">
      <c r="A211" s="44">
        <v>208</v>
      </c>
      <c r="B211" s="45">
        <v>2011</v>
      </c>
      <c r="C211" s="45" t="s">
        <v>13</v>
      </c>
      <c r="D211" s="39" t="s">
        <v>217</v>
      </c>
      <c r="E211" s="39" t="s">
        <v>937</v>
      </c>
      <c r="F211" s="50">
        <v>10</v>
      </c>
    </row>
    <row r="212" spans="1:6" ht="20.100000000000001" customHeight="1">
      <c r="A212" s="44">
        <v>209</v>
      </c>
      <c r="B212" s="45">
        <v>2011</v>
      </c>
      <c r="C212" s="47" t="s">
        <v>19</v>
      </c>
      <c r="D212" s="45" t="s">
        <v>218</v>
      </c>
      <c r="E212" s="45" t="s">
        <v>1280</v>
      </c>
      <c r="F212" s="50">
        <v>30</v>
      </c>
    </row>
    <row r="213" spans="1:6" ht="20.100000000000001" customHeight="1">
      <c r="A213" s="44">
        <v>210</v>
      </c>
      <c r="B213" s="45">
        <v>2011</v>
      </c>
      <c r="C213" s="47" t="s">
        <v>16</v>
      </c>
      <c r="D213" s="45" t="s">
        <v>219</v>
      </c>
      <c r="E213" s="45" t="s">
        <v>1859</v>
      </c>
      <c r="F213" s="50">
        <v>48.6</v>
      </c>
    </row>
    <row r="214" spans="1:6" ht="20.100000000000001" customHeight="1">
      <c r="A214" s="44">
        <v>211</v>
      </c>
      <c r="B214" s="44">
        <v>2011</v>
      </c>
      <c r="C214" s="41" t="s">
        <v>104</v>
      </c>
      <c r="D214" s="44" t="s">
        <v>221</v>
      </c>
      <c r="E214" s="44" t="s">
        <v>1528</v>
      </c>
      <c r="F214" s="50">
        <v>9.75</v>
      </c>
    </row>
    <row r="215" spans="1:6" ht="20.100000000000001" customHeight="1">
      <c r="A215" s="44">
        <v>212</v>
      </c>
      <c r="B215" s="44">
        <v>2011</v>
      </c>
      <c r="C215" s="41" t="s">
        <v>104</v>
      </c>
      <c r="D215" s="44" t="s">
        <v>220</v>
      </c>
      <c r="E215" s="44" t="s">
        <v>1527</v>
      </c>
      <c r="F215" s="50">
        <v>10</v>
      </c>
    </row>
    <row r="216" spans="1:6" ht="20.100000000000001" customHeight="1">
      <c r="A216" s="44">
        <v>213</v>
      </c>
      <c r="B216" s="44">
        <v>2011</v>
      </c>
      <c r="C216" s="41" t="s">
        <v>31</v>
      </c>
      <c r="D216" s="44" t="s">
        <v>222</v>
      </c>
      <c r="E216" s="44" t="s">
        <v>1689</v>
      </c>
      <c r="F216" s="50">
        <v>10</v>
      </c>
    </row>
    <row r="217" spans="1:6" ht="20.100000000000001" customHeight="1">
      <c r="A217" s="44">
        <v>214</v>
      </c>
      <c r="B217" s="44">
        <v>2011</v>
      </c>
      <c r="C217" s="41" t="s">
        <v>33</v>
      </c>
      <c r="D217" s="44" t="s">
        <v>223</v>
      </c>
      <c r="E217" s="44" t="s">
        <v>1529</v>
      </c>
      <c r="F217" s="50">
        <v>10.176</v>
      </c>
    </row>
    <row r="218" spans="1:6" ht="20.100000000000001" customHeight="1">
      <c r="A218" s="44">
        <v>215</v>
      </c>
      <c r="B218" s="44">
        <v>2011</v>
      </c>
      <c r="C218" s="41" t="s">
        <v>33</v>
      </c>
      <c r="D218" s="44" t="s">
        <v>224</v>
      </c>
      <c r="E218" s="44" t="s">
        <v>1530</v>
      </c>
      <c r="F218" s="50">
        <v>10.176</v>
      </c>
    </row>
    <row r="219" spans="1:6" ht="20.100000000000001" customHeight="1">
      <c r="A219" s="44">
        <v>216</v>
      </c>
      <c r="B219" s="44">
        <v>2011</v>
      </c>
      <c r="C219" s="41" t="s">
        <v>3</v>
      </c>
      <c r="D219" s="44" t="s">
        <v>225</v>
      </c>
      <c r="E219" s="44" t="s">
        <v>1102</v>
      </c>
      <c r="F219" s="50">
        <v>5</v>
      </c>
    </row>
    <row r="220" spans="1:6" ht="20.100000000000001" customHeight="1">
      <c r="A220" s="44">
        <v>217</v>
      </c>
      <c r="B220" s="44">
        <v>2011</v>
      </c>
      <c r="C220" s="41" t="s">
        <v>56</v>
      </c>
      <c r="D220" s="44" t="s">
        <v>226</v>
      </c>
      <c r="E220" s="44" t="s">
        <v>1732</v>
      </c>
      <c r="F220" s="50">
        <v>15</v>
      </c>
    </row>
    <row r="221" spans="1:6" ht="20.100000000000001" customHeight="1">
      <c r="A221" s="44">
        <v>218</v>
      </c>
      <c r="B221" s="44">
        <v>2011</v>
      </c>
      <c r="C221" s="41" t="s">
        <v>56</v>
      </c>
      <c r="D221" s="44" t="s">
        <v>227</v>
      </c>
      <c r="E221" s="44" t="s">
        <v>1733</v>
      </c>
      <c r="F221" s="50">
        <v>30</v>
      </c>
    </row>
    <row r="222" spans="1:6" ht="20.100000000000001" customHeight="1">
      <c r="A222" s="44">
        <v>219</v>
      </c>
      <c r="B222" s="44">
        <v>2011</v>
      </c>
      <c r="C222" s="41" t="s">
        <v>56</v>
      </c>
      <c r="D222" s="44" t="s">
        <v>228</v>
      </c>
      <c r="E222" s="44" t="s">
        <v>1734</v>
      </c>
      <c r="F222" s="50">
        <v>24</v>
      </c>
    </row>
    <row r="223" spans="1:6" ht="20.100000000000001" customHeight="1">
      <c r="A223" s="44">
        <v>220</v>
      </c>
      <c r="B223" s="44">
        <v>2011</v>
      </c>
      <c r="C223" s="41" t="s">
        <v>57</v>
      </c>
      <c r="D223" s="44" t="s">
        <v>229</v>
      </c>
      <c r="E223" s="44" t="s">
        <v>1110</v>
      </c>
      <c r="F223" s="50">
        <v>3</v>
      </c>
    </row>
    <row r="224" spans="1:6" ht="20.100000000000001" customHeight="1">
      <c r="A224" s="44">
        <v>221</v>
      </c>
      <c r="B224" s="44">
        <v>2011</v>
      </c>
      <c r="C224" s="41" t="s">
        <v>57</v>
      </c>
      <c r="D224" s="44" t="s">
        <v>230</v>
      </c>
      <c r="E224" s="44" t="s">
        <v>1147</v>
      </c>
      <c r="F224" s="50">
        <v>10</v>
      </c>
    </row>
    <row r="225" spans="1:6" ht="20.100000000000001" customHeight="1">
      <c r="A225" s="44">
        <v>222</v>
      </c>
      <c r="B225" s="44">
        <v>2012</v>
      </c>
      <c r="C225" s="41" t="s">
        <v>2476</v>
      </c>
      <c r="D225" s="44" t="s">
        <v>2101</v>
      </c>
      <c r="E225" s="44" t="s">
        <v>1096</v>
      </c>
      <c r="F225" s="50">
        <v>272</v>
      </c>
    </row>
    <row r="226" spans="1:6" ht="20.100000000000001" customHeight="1">
      <c r="A226" s="44">
        <v>223</v>
      </c>
      <c r="B226" s="44">
        <v>2012</v>
      </c>
      <c r="C226" s="41" t="s">
        <v>42</v>
      </c>
      <c r="D226" s="44" t="s">
        <v>232</v>
      </c>
      <c r="E226" s="44" t="s">
        <v>1058</v>
      </c>
      <c r="F226" s="50">
        <v>201</v>
      </c>
    </row>
    <row r="227" spans="1:6" ht="20.100000000000001" customHeight="1">
      <c r="A227" s="44">
        <v>224</v>
      </c>
      <c r="B227" s="44">
        <v>2012</v>
      </c>
      <c r="C227" s="41" t="s">
        <v>44</v>
      </c>
      <c r="D227" s="44" t="s">
        <v>233</v>
      </c>
      <c r="E227" s="44" t="s">
        <v>1040</v>
      </c>
      <c r="F227" s="50">
        <v>10</v>
      </c>
    </row>
    <row r="228" spans="1:6" ht="20.100000000000001" customHeight="1">
      <c r="A228" s="44">
        <v>225</v>
      </c>
      <c r="B228" s="45">
        <v>2012</v>
      </c>
      <c r="C228" s="47" t="s">
        <v>1233</v>
      </c>
      <c r="D228" s="45" t="s">
        <v>235</v>
      </c>
      <c r="E228" s="45" t="s">
        <v>1005</v>
      </c>
      <c r="F228" s="50">
        <v>40</v>
      </c>
    </row>
    <row r="229" spans="1:6" ht="20.100000000000001" customHeight="1">
      <c r="A229" s="44">
        <v>226</v>
      </c>
      <c r="B229" s="45">
        <v>2012</v>
      </c>
      <c r="C229" s="47" t="s">
        <v>1281</v>
      </c>
      <c r="D229" s="45" t="s">
        <v>2550</v>
      </c>
      <c r="E229" s="45" t="s">
        <v>1283</v>
      </c>
      <c r="F229" s="50">
        <v>28</v>
      </c>
    </row>
    <row r="230" spans="1:6" ht="20.100000000000001" customHeight="1">
      <c r="A230" s="44">
        <v>227</v>
      </c>
      <c r="B230" s="45">
        <v>2012</v>
      </c>
      <c r="C230" s="47" t="s">
        <v>236</v>
      </c>
      <c r="D230" s="45" t="s">
        <v>237</v>
      </c>
      <c r="E230" s="45" t="s">
        <v>2998</v>
      </c>
      <c r="F230" s="50">
        <v>10</v>
      </c>
    </row>
    <row r="231" spans="1:6" ht="20.100000000000001" customHeight="1">
      <c r="A231" s="44">
        <v>228</v>
      </c>
      <c r="B231" s="45">
        <v>2012</v>
      </c>
      <c r="C231" s="47" t="s">
        <v>58</v>
      </c>
      <c r="D231" s="45" t="s">
        <v>238</v>
      </c>
      <c r="E231" s="45" t="s">
        <v>1050</v>
      </c>
      <c r="F231" s="50">
        <v>50</v>
      </c>
    </row>
    <row r="232" spans="1:6" ht="20.100000000000001" customHeight="1">
      <c r="A232" s="44">
        <v>229</v>
      </c>
      <c r="B232" s="44">
        <v>2012</v>
      </c>
      <c r="C232" s="41" t="s">
        <v>239</v>
      </c>
      <c r="D232" s="44" t="s">
        <v>240</v>
      </c>
      <c r="E232" s="44" t="s">
        <v>1211</v>
      </c>
      <c r="F232" s="50">
        <v>53</v>
      </c>
    </row>
    <row r="233" spans="1:6" ht="20.100000000000001" customHeight="1">
      <c r="A233" s="44">
        <v>230</v>
      </c>
      <c r="B233" s="44">
        <v>2012</v>
      </c>
      <c r="C233" s="41" t="s">
        <v>241</v>
      </c>
      <c r="D233" s="44" t="s">
        <v>241</v>
      </c>
      <c r="E233" s="44" t="s">
        <v>1531</v>
      </c>
      <c r="F233" s="50">
        <v>60</v>
      </c>
    </row>
    <row r="234" spans="1:6" ht="20.100000000000001" customHeight="1">
      <c r="A234" s="44">
        <v>231</v>
      </c>
      <c r="B234" s="45">
        <v>2012</v>
      </c>
      <c r="C234" s="47" t="s">
        <v>242</v>
      </c>
      <c r="D234" s="45" t="s">
        <v>243</v>
      </c>
      <c r="E234" s="45" t="s">
        <v>1532</v>
      </c>
      <c r="F234" s="50">
        <v>30</v>
      </c>
    </row>
    <row r="235" spans="1:6" ht="20.100000000000001" customHeight="1">
      <c r="A235" s="44">
        <v>232</v>
      </c>
      <c r="B235" s="45">
        <v>2012</v>
      </c>
      <c r="C235" s="47" t="s">
        <v>12</v>
      </c>
      <c r="D235" s="45" t="s">
        <v>246</v>
      </c>
      <c r="E235" s="45" t="s">
        <v>1860</v>
      </c>
      <c r="F235" s="50">
        <v>31.5</v>
      </c>
    </row>
    <row r="236" spans="1:6" ht="20.100000000000001" customHeight="1">
      <c r="A236" s="44">
        <v>233</v>
      </c>
      <c r="B236" s="45">
        <v>2012</v>
      </c>
      <c r="C236" s="47" t="s">
        <v>12</v>
      </c>
      <c r="D236" s="45" t="s">
        <v>244</v>
      </c>
      <c r="E236" s="45" t="s">
        <v>1856</v>
      </c>
      <c r="F236" s="50">
        <v>9.4</v>
      </c>
    </row>
    <row r="237" spans="1:6" ht="20.100000000000001" customHeight="1">
      <c r="A237" s="44">
        <v>234</v>
      </c>
      <c r="B237" s="45">
        <v>2012</v>
      </c>
      <c r="C237" s="47" t="s">
        <v>12</v>
      </c>
      <c r="D237" s="45" t="s">
        <v>245</v>
      </c>
      <c r="E237" s="45" t="s">
        <v>1857</v>
      </c>
      <c r="F237" s="50">
        <v>43.06</v>
      </c>
    </row>
    <row r="238" spans="1:6" ht="20.100000000000001" customHeight="1">
      <c r="A238" s="44">
        <v>235</v>
      </c>
      <c r="B238" s="45">
        <v>2012</v>
      </c>
      <c r="C238" s="47" t="s">
        <v>1233</v>
      </c>
      <c r="D238" s="45" t="s">
        <v>248</v>
      </c>
      <c r="E238" s="45" t="s">
        <v>1285</v>
      </c>
      <c r="F238" s="50">
        <v>40</v>
      </c>
    </row>
    <row r="239" spans="1:6" ht="20.100000000000001" customHeight="1">
      <c r="A239" s="44">
        <v>236</v>
      </c>
      <c r="B239" s="45">
        <v>2012</v>
      </c>
      <c r="C239" s="47" t="s">
        <v>1233</v>
      </c>
      <c r="D239" s="45" t="s">
        <v>249</v>
      </c>
      <c r="E239" s="45" t="s">
        <v>1286</v>
      </c>
      <c r="F239" s="50">
        <v>25</v>
      </c>
    </row>
    <row r="240" spans="1:6" ht="20.100000000000001" customHeight="1">
      <c r="A240" s="44">
        <v>237</v>
      </c>
      <c r="B240" s="45">
        <v>2012</v>
      </c>
      <c r="C240" s="47" t="s">
        <v>1233</v>
      </c>
      <c r="D240" s="45" t="s">
        <v>250</v>
      </c>
      <c r="E240" s="45" t="s">
        <v>1287</v>
      </c>
      <c r="F240" s="50">
        <v>40</v>
      </c>
    </row>
    <row r="241" spans="1:6" ht="20.100000000000001" customHeight="1">
      <c r="A241" s="44">
        <v>238</v>
      </c>
      <c r="B241" s="45">
        <v>2012</v>
      </c>
      <c r="C241" s="47" t="s">
        <v>1233</v>
      </c>
      <c r="D241" s="45" t="s">
        <v>251</v>
      </c>
      <c r="E241" s="45" t="s">
        <v>1288</v>
      </c>
      <c r="F241" s="50">
        <v>20</v>
      </c>
    </row>
    <row r="242" spans="1:6" ht="20.100000000000001" customHeight="1">
      <c r="A242" s="44">
        <v>239</v>
      </c>
      <c r="B242" s="45">
        <v>2012</v>
      </c>
      <c r="C242" s="47" t="s">
        <v>1233</v>
      </c>
      <c r="D242" s="45" t="s">
        <v>247</v>
      </c>
      <c r="E242" s="45" t="s">
        <v>1284</v>
      </c>
      <c r="F242" s="50">
        <v>20</v>
      </c>
    </row>
    <row r="243" spans="1:6" ht="20.100000000000001" customHeight="1">
      <c r="A243" s="44">
        <v>240</v>
      </c>
      <c r="B243" s="44">
        <v>2012</v>
      </c>
      <c r="C243" s="41" t="s">
        <v>145</v>
      </c>
      <c r="D243" s="44" t="s">
        <v>252</v>
      </c>
      <c r="E243" s="44" t="s">
        <v>1830</v>
      </c>
      <c r="F243" s="50">
        <v>20</v>
      </c>
    </row>
    <row r="244" spans="1:6" ht="20.100000000000001" customHeight="1">
      <c r="A244" s="44">
        <v>241</v>
      </c>
      <c r="B244" s="45">
        <v>2012</v>
      </c>
      <c r="C244" s="47" t="s">
        <v>76</v>
      </c>
      <c r="D244" s="45" t="s">
        <v>253</v>
      </c>
      <c r="E244" s="45" t="s">
        <v>987</v>
      </c>
      <c r="F244" s="50">
        <v>33</v>
      </c>
    </row>
    <row r="245" spans="1:6" ht="20.100000000000001" customHeight="1">
      <c r="A245" s="44">
        <v>242</v>
      </c>
      <c r="B245" s="44">
        <v>2012</v>
      </c>
      <c r="C245" s="41" t="s">
        <v>147</v>
      </c>
      <c r="D245" s="44" t="s">
        <v>254</v>
      </c>
      <c r="E245" s="44" t="s">
        <v>1008</v>
      </c>
      <c r="F245" s="50">
        <v>68.64</v>
      </c>
    </row>
    <row r="246" spans="1:6" ht="20.100000000000001" customHeight="1">
      <c r="A246" s="44">
        <v>243</v>
      </c>
      <c r="B246" s="45">
        <v>2012</v>
      </c>
      <c r="C246" s="47" t="s">
        <v>8</v>
      </c>
      <c r="D246" s="45" t="s">
        <v>255</v>
      </c>
      <c r="E246" s="45" t="s">
        <v>1289</v>
      </c>
      <c r="F246" s="50">
        <v>36.75</v>
      </c>
    </row>
    <row r="247" spans="1:6" ht="20.100000000000001" customHeight="1">
      <c r="A247" s="44">
        <v>244</v>
      </c>
      <c r="B247" s="45">
        <v>2012</v>
      </c>
      <c r="C247" s="47" t="s">
        <v>8</v>
      </c>
      <c r="D247" s="45" t="s">
        <v>256</v>
      </c>
      <c r="E247" s="45" t="s">
        <v>1290</v>
      </c>
      <c r="F247" s="50">
        <v>3</v>
      </c>
    </row>
    <row r="248" spans="1:6" ht="20.100000000000001" customHeight="1">
      <c r="A248" s="44">
        <v>245</v>
      </c>
      <c r="B248" s="45">
        <v>2012</v>
      </c>
      <c r="C248" s="47" t="s">
        <v>23</v>
      </c>
      <c r="D248" s="45" t="s">
        <v>2475</v>
      </c>
      <c r="E248" s="45" t="s">
        <v>2806</v>
      </c>
      <c r="F248" s="50">
        <v>15</v>
      </c>
    </row>
    <row r="249" spans="1:6" ht="20.100000000000001" customHeight="1">
      <c r="A249" s="44">
        <v>246</v>
      </c>
      <c r="B249" s="45">
        <v>2012</v>
      </c>
      <c r="C249" s="47" t="s">
        <v>23</v>
      </c>
      <c r="D249" s="45" t="s">
        <v>257</v>
      </c>
      <c r="E249" s="45" t="s">
        <v>2807</v>
      </c>
      <c r="F249" s="50">
        <v>5</v>
      </c>
    </row>
    <row r="250" spans="1:6" ht="20.100000000000001" customHeight="1">
      <c r="A250" s="44">
        <v>247</v>
      </c>
      <c r="B250" s="44">
        <v>2012</v>
      </c>
      <c r="C250" s="41" t="s">
        <v>86</v>
      </c>
      <c r="D250" s="44" t="s">
        <v>1868</v>
      </c>
      <c r="E250" s="44" t="s">
        <v>1869</v>
      </c>
      <c r="F250" s="50">
        <v>10</v>
      </c>
    </row>
    <row r="251" spans="1:6" ht="20.100000000000001" customHeight="1">
      <c r="A251" s="44">
        <v>248</v>
      </c>
      <c r="B251" s="44">
        <v>2012</v>
      </c>
      <c r="C251" s="41" t="s">
        <v>14</v>
      </c>
      <c r="D251" s="44" t="s">
        <v>258</v>
      </c>
      <c r="E251" s="44" t="s">
        <v>1291</v>
      </c>
      <c r="F251" s="50">
        <v>10</v>
      </c>
    </row>
    <row r="252" spans="1:6" ht="20.100000000000001" customHeight="1">
      <c r="A252" s="44">
        <v>249</v>
      </c>
      <c r="B252" s="44">
        <v>2012</v>
      </c>
      <c r="C252" s="41" t="s">
        <v>1491</v>
      </c>
      <c r="D252" s="44" t="s">
        <v>260</v>
      </c>
      <c r="E252" s="44" t="s">
        <v>1494</v>
      </c>
      <c r="F252" s="50">
        <v>12</v>
      </c>
    </row>
    <row r="253" spans="1:6" ht="20.100000000000001" customHeight="1">
      <c r="A253" s="44">
        <v>250</v>
      </c>
      <c r="B253" s="44">
        <v>2012</v>
      </c>
      <c r="C253" s="41" t="s">
        <v>70</v>
      </c>
      <c r="D253" s="44" t="s">
        <v>259</v>
      </c>
      <c r="E253" s="44" t="s">
        <v>1526</v>
      </c>
      <c r="F253" s="50">
        <v>10</v>
      </c>
    </row>
    <row r="254" spans="1:6" ht="20.100000000000001" customHeight="1">
      <c r="A254" s="44">
        <v>251</v>
      </c>
      <c r="B254" s="45">
        <v>2012</v>
      </c>
      <c r="C254" s="47" t="s">
        <v>19</v>
      </c>
      <c r="D254" s="45" t="s">
        <v>921</v>
      </c>
      <c r="E254" s="45" t="s">
        <v>1292</v>
      </c>
      <c r="F254" s="50">
        <v>28.35</v>
      </c>
    </row>
    <row r="255" spans="1:6" ht="20.100000000000001" customHeight="1">
      <c r="A255" s="44">
        <v>252</v>
      </c>
      <c r="B255" s="45">
        <v>2012</v>
      </c>
      <c r="C255" s="47" t="s">
        <v>19</v>
      </c>
      <c r="D255" s="45" t="s">
        <v>924</v>
      </c>
      <c r="E255" s="45" t="s">
        <v>1293</v>
      </c>
      <c r="F255" s="50">
        <v>15</v>
      </c>
    </row>
    <row r="256" spans="1:6" ht="20.100000000000001" customHeight="1">
      <c r="A256" s="44">
        <v>253</v>
      </c>
      <c r="B256" s="45">
        <v>2012</v>
      </c>
      <c r="C256" s="47" t="s">
        <v>64</v>
      </c>
      <c r="D256" s="45" t="s">
        <v>261</v>
      </c>
      <c r="E256" s="45" t="s">
        <v>1763</v>
      </c>
      <c r="F256" s="50">
        <v>15</v>
      </c>
    </row>
    <row r="257" spans="1:9" ht="20.100000000000001" customHeight="1">
      <c r="A257" s="44">
        <v>254</v>
      </c>
      <c r="B257" s="45">
        <v>2012</v>
      </c>
      <c r="C257" s="47" t="s">
        <v>64</v>
      </c>
      <c r="D257" s="45" t="s">
        <v>262</v>
      </c>
      <c r="E257" s="45" t="s">
        <v>1764</v>
      </c>
      <c r="F257" s="50">
        <v>10</v>
      </c>
    </row>
    <row r="258" spans="1:9" ht="20.100000000000001" customHeight="1">
      <c r="A258" s="44">
        <v>255</v>
      </c>
      <c r="B258" s="45">
        <v>2012</v>
      </c>
      <c r="C258" s="47" t="s">
        <v>64</v>
      </c>
      <c r="D258" s="45" t="s">
        <v>2992</v>
      </c>
      <c r="E258" s="45" t="s">
        <v>1765</v>
      </c>
      <c r="F258" s="50">
        <v>3</v>
      </c>
    </row>
    <row r="259" spans="1:9" ht="20.100000000000001" customHeight="1">
      <c r="A259" s="44">
        <v>256</v>
      </c>
      <c r="B259" s="45">
        <v>2012</v>
      </c>
      <c r="C259" s="47" t="s">
        <v>37</v>
      </c>
      <c r="D259" s="45" t="s">
        <v>263</v>
      </c>
      <c r="E259" s="45" t="s">
        <v>1186</v>
      </c>
      <c r="F259" s="56">
        <v>72.25</v>
      </c>
    </row>
    <row r="260" spans="1:9" ht="20.100000000000001" customHeight="1">
      <c r="A260" s="44">
        <v>257</v>
      </c>
      <c r="B260" s="44">
        <v>2012</v>
      </c>
      <c r="C260" s="41" t="s">
        <v>31</v>
      </c>
      <c r="D260" s="44" t="s">
        <v>265</v>
      </c>
      <c r="E260" s="44" t="s">
        <v>1691</v>
      </c>
      <c r="F260" s="50">
        <v>10</v>
      </c>
    </row>
    <row r="261" spans="1:9" ht="20.100000000000001" customHeight="1">
      <c r="A261" s="44">
        <v>258</v>
      </c>
      <c r="B261" s="44">
        <v>2012</v>
      </c>
      <c r="C261" s="41" t="s">
        <v>31</v>
      </c>
      <c r="D261" s="44" t="s">
        <v>264</v>
      </c>
      <c r="E261" s="44" t="s">
        <v>1690</v>
      </c>
      <c r="F261" s="50">
        <v>5</v>
      </c>
    </row>
    <row r="262" spans="1:9" ht="20.100000000000001" customHeight="1">
      <c r="A262" s="44">
        <v>259</v>
      </c>
      <c r="B262" s="44">
        <v>2012</v>
      </c>
      <c r="C262" s="41" t="s">
        <v>33</v>
      </c>
      <c r="D262" s="44" t="s">
        <v>266</v>
      </c>
      <c r="E262" s="44" t="s">
        <v>1533</v>
      </c>
      <c r="F262" s="50">
        <v>10</v>
      </c>
    </row>
    <row r="263" spans="1:9" ht="20.100000000000001" customHeight="1">
      <c r="A263" s="44">
        <v>260</v>
      </c>
      <c r="B263" s="44">
        <v>2012</v>
      </c>
      <c r="C263" s="41" t="s">
        <v>6</v>
      </c>
      <c r="D263" s="44" t="s">
        <v>267</v>
      </c>
      <c r="E263" s="44" t="s">
        <v>1294</v>
      </c>
      <c r="F263" s="50">
        <v>30</v>
      </c>
    </row>
    <row r="264" spans="1:9" ht="20.100000000000001" customHeight="1">
      <c r="A264" s="44">
        <v>261</v>
      </c>
      <c r="B264" s="44">
        <v>2012</v>
      </c>
      <c r="C264" s="41" t="s">
        <v>6</v>
      </c>
      <c r="D264" s="44" t="s">
        <v>268</v>
      </c>
      <c r="E264" s="44" t="s">
        <v>1295</v>
      </c>
      <c r="F264" s="50">
        <v>10</v>
      </c>
    </row>
    <row r="265" spans="1:9" ht="20.100000000000001" customHeight="1">
      <c r="A265" s="44">
        <v>262</v>
      </c>
      <c r="B265" s="44">
        <v>2012</v>
      </c>
      <c r="C265" s="41" t="s">
        <v>3</v>
      </c>
      <c r="D265" s="44" t="s">
        <v>269</v>
      </c>
      <c r="E265" s="44" t="s">
        <v>1103</v>
      </c>
      <c r="F265" s="50">
        <v>46</v>
      </c>
    </row>
    <row r="266" spans="1:9" ht="20.100000000000001" customHeight="1">
      <c r="A266" s="44">
        <v>263</v>
      </c>
      <c r="B266" s="44">
        <v>2012</v>
      </c>
      <c r="C266" s="41" t="s">
        <v>56</v>
      </c>
      <c r="D266" s="44" t="s">
        <v>270</v>
      </c>
      <c r="E266" s="44" t="s">
        <v>1735</v>
      </c>
      <c r="F266" s="50">
        <v>5.16</v>
      </c>
    </row>
    <row r="267" spans="1:9" ht="20.100000000000001" customHeight="1">
      <c r="A267" s="44">
        <v>264</v>
      </c>
      <c r="B267" s="44">
        <v>2012</v>
      </c>
      <c r="C267" s="41" t="s">
        <v>56</v>
      </c>
      <c r="D267" s="44" t="s">
        <v>271</v>
      </c>
      <c r="E267" s="44" t="s">
        <v>1736</v>
      </c>
      <c r="F267" s="50">
        <v>10.08</v>
      </c>
      <c r="G267" s="42"/>
      <c r="H267" s="42"/>
      <c r="I267" s="42"/>
    </row>
    <row r="268" spans="1:9" ht="20.100000000000001" customHeight="1">
      <c r="A268" s="44">
        <v>265</v>
      </c>
      <c r="B268" s="44">
        <v>2012</v>
      </c>
      <c r="C268" s="41" t="s">
        <v>57</v>
      </c>
      <c r="D268" s="44" t="s">
        <v>272</v>
      </c>
      <c r="E268" s="44" t="s">
        <v>1112</v>
      </c>
      <c r="F268" s="50">
        <v>5.76</v>
      </c>
    </row>
    <row r="269" spans="1:9" ht="20.100000000000001" customHeight="1">
      <c r="A269" s="44">
        <v>266</v>
      </c>
      <c r="B269" s="44">
        <v>2012</v>
      </c>
      <c r="C269" s="41" t="s">
        <v>57</v>
      </c>
      <c r="D269" s="44" t="s">
        <v>273</v>
      </c>
      <c r="E269" s="44" t="s">
        <v>1111</v>
      </c>
      <c r="F269" s="50">
        <v>25</v>
      </c>
    </row>
    <row r="270" spans="1:9" ht="20.100000000000001" customHeight="1">
      <c r="A270" s="44">
        <v>267</v>
      </c>
      <c r="B270" s="44">
        <v>2012</v>
      </c>
      <c r="C270" s="41" t="s">
        <v>57</v>
      </c>
      <c r="D270" s="44" t="s">
        <v>1123</v>
      </c>
      <c r="E270" s="44" t="s">
        <v>1124</v>
      </c>
      <c r="F270" s="50">
        <v>8</v>
      </c>
    </row>
    <row r="271" spans="1:9" ht="20.100000000000001" customHeight="1">
      <c r="A271" s="44">
        <v>268</v>
      </c>
      <c r="B271" s="44">
        <v>2013</v>
      </c>
      <c r="C271" s="41" t="s">
        <v>2477</v>
      </c>
      <c r="D271" s="44" t="s">
        <v>274</v>
      </c>
      <c r="E271" s="44" t="s">
        <v>1820</v>
      </c>
      <c r="F271" s="50">
        <v>120</v>
      </c>
    </row>
    <row r="272" spans="1:9" ht="20.100000000000001" customHeight="1">
      <c r="A272" s="44">
        <v>269</v>
      </c>
      <c r="B272" s="44">
        <v>2013</v>
      </c>
      <c r="C272" s="41" t="s">
        <v>42</v>
      </c>
      <c r="D272" s="44" t="s">
        <v>275</v>
      </c>
      <c r="E272" s="44" t="s">
        <v>1063</v>
      </c>
      <c r="F272" s="50">
        <v>7</v>
      </c>
    </row>
    <row r="273" spans="1:6" ht="20.100000000000001" customHeight="1">
      <c r="A273" s="44">
        <v>270</v>
      </c>
      <c r="B273" s="44">
        <v>2014</v>
      </c>
      <c r="C273" s="41" t="s">
        <v>44</v>
      </c>
      <c r="D273" s="44" t="s">
        <v>276</v>
      </c>
      <c r="E273" s="44" t="s">
        <v>1036</v>
      </c>
      <c r="F273" s="50">
        <v>20</v>
      </c>
    </row>
    <row r="274" spans="1:6" ht="20.100000000000001" customHeight="1">
      <c r="A274" s="44">
        <v>271</v>
      </c>
      <c r="B274" s="44">
        <v>2013</v>
      </c>
      <c r="C274" s="41" t="s">
        <v>44</v>
      </c>
      <c r="D274" s="44" t="s">
        <v>277</v>
      </c>
      <c r="E274" s="44" t="s">
        <v>1042</v>
      </c>
      <c r="F274" s="50">
        <v>10</v>
      </c>
    </row>
    <row r="275" spans="1:6" s="59" customFormat="1" ht="20.100000000000001" customHeight="1">
      <c r="A275" s="44">
        <v>272</v>
      </c>
      <c r="B275" s="57">
        <v>2013</v>
      </c>
      <c r="C275" s="58" t="s">
        <v>278</v>
      </c>
      <c r="D275" s="57" t="s">
        <v>280</v>
      </c>
      <c r="E275" s="57" t="s">
        <v>2655</v>
      </c>
      <c r="F275" s="62">
        <v>12</v>
      </c>
    </row>
    <row r="276" spans="1:6" ht="20.100000000000001" customHeight="1">
      <c r="A276" s="44">
        <v>273</v>
      </c>
      <c r="B276" s="45">
        <v>2013</v>
      </c>
      <c r="C276" s="47" t="s">
        <v>278</v>
      </c>
      <c r="D276" s="45" t="s">
        <v>2551</v>
      </c>
      <c r="E276" s="45" t="s">
        <v>2552</v>
      </c>
      <c r="F276" s="50">
        <v>10</v>
      </c>
    </row>
    <row r="277" spans="1:6" ht="20.100000000000001" customHeight="1">
      <c r="A277" s="44">
        <v>274</v>
      </c>
      <c r="B277" s="44">
        <v>2013</v>
      </c>
      <c r="C277" s="41" t="s">
        <v>122</v>
      </c>
      <c r="D277" s="44" t="s">
        <v>1958</v>
      </c>
      <c r="E277" s="44" t="s">
        <v>1920</v>
      </c>
      <c r="F277" s="50">
        <v>40</v>
      </c>
    </row>
    <row r="278" spans="1:6" ht="20.100000000000001" customHeight="1">
      <c r="A278" s="44">
        <v>275</v>
      </c>
      <c r="B278" s="44">
        <v>2013</v>
      </c>
      <c r="C278" s="41" t="s">
        <v>122</v>
      </c>
      <c r="D278" s="44" t="s">
        <v>282</v>
      </c>
      <c r="E278" s="44" t="s">
        <v>1920</v>
      </c>
      <c r="F278" s="50">
        <v>40</v>
      </c>
    </row>
    <row r="279" spans="1:6" ht="20.100000000000001" customHeight="1">
      <c r="A279" s="44">
        <v>276</v>
      </c>
      <c r="B279" s="44">
        <v>2013</v>
      </c>
      <c r="C279" s="41" t="s">
        <v>122</v>
      </c>
      <c r="D279" s="44" t="s">
        <v>284</v>
      </c>
      <c r="E279" s="44" t="s">
        <v>1920</v>
      </c>
      <c r="F279" s="50">
        <v>40</v>
      </c>
    </row>
    <row r="280" spans="1:6" ht="20.100000000000001" customHeight="1">
      <c r="A280" s="44">
        <v>277</v>
      </c>
      <c r="B280" s="44">
        <v>2013</v>
      </c>
      <c r="C280" s="41" t="s">
        <v>122</v>
      </c>
      <c r="D280" s="44" t="s">
        <v>283</v>
      </c>
      <c r="E280" s="44" t="s">
        <v>1920</v>
      </c>
      <c r="F280" s="50">
        <v>50</v>
      </c>
    </row>
    <row r="281" spans="1:6" ht="20.100000000000001" customHeight="1">
      <c r="A281" s="44">
        <v>278</v>
      </c>
      <c r="B281" s="44">
        <v>2013</v>
      </c>
      <c r="C281" s="41" t="s">
        <v>122</v>
      </c>
      <c r="D281" s="44" t="s">
        <v>285</v>
      </c>
      <c r="E281" s="44" t="s">
        <v>1920</v>
      </c>
      <c r="F281" s="50">
        <v>30</v>
      </c>
    </row>
    <row r="282" spans="1:6" ht="20.100000000000001" customHeight="1">
      <c r="A282" s="44">
        <v>279</v>
      </c>
      <c r="B282" s="44">
        <v>2013</v>
      </c>
      <c r="C282" s="41" t="s">
        <v>122</v>
      </c>
      <c r="D282" s="44" t="s">
        <v>281</v>
      </c>
      <c r="E282" s="44" t="s">
        <v>1920</v>
      </c>
      <c r="F282" s="50">
        <v>60</v>
      </c>
    </row>
    <row r="283" spans="1:6" ht="20.100000000000001" customHeight="1">
      <c r="A283" s="44">
        <v>280</v>
      </c>
      <c r="B283" s="45">
        <v>2013</v>
      </c>
      <c r="C283" s="47" t="s">
        <v>2589</v>
      </c>
      <c r="D283" s="45" t="s">
        <v>286</v>
      </c>
      <c r="E283" s="45" t="s">
        <v>1082</v>
      </c>
      <c r="F283" s="50">
        <v>10</v>
      </c>
    </row>
    <row r="284" spans="1:6" ht="20.100000000000001" customHeight="1">
      <c r="A284" s="44">
        <v>281</v>
      </c>
      <c r="B284" s="45">
        <v>2013</v>
      </c>
      <c r="C284" s="47" t="s">
        <v>2016</v>
      </c>
      <c r="D284" s="45" t="s">
        <v>2680</v>
      </c>
      <c r="E284" s="45" t="s">
        <v>2014</v>
      </c>
      <c r="F284" s="50">
        <v>20</v>
      </c>
    </row>
    <row r="285" spans="1:6" ht="20.100000000000001" customHeight="1">
      <c r="A285" s="44">
        <v>282</v>
      </c>
      <c r="B285" s="45">
        <v>2013</v>
      </c>
      <c r="C285" s="47" t="s">
        <v>58</v>
      </c>
      <c r="D285" s="45" t="s">
        <v>287</v>
      </c>
      <c r="E285" s="45" t="s">
        <v>1052</v>
      </c>
      <c r="F285" s="50">
        <v>50</v>
      </c>
    </row>
    <row r="286" spans="1:6" ht="20.100000000000001" customHeight="1">
      <c r="A286" s="44">
        <v>283</v>
      </c>
      <c r="B286" s="44">
        <v>2013</v>
      </c>
      <c r="C286" s="41" t="s">
        <v>128</v>
      </c>
      <c r="D286" s="44" t="s">
        <v>1991</v>
      </c>
      <c r="E286" s="44" t="s">
        <v>1989</v>
      </c>
      <c r="F286" s="50">
        <v>100</v>
      </c>
    </row>
    <row r="287" spans="1:6" ht="20.100000000000001" customHeight="1">
      <c r="A287" s="44">
        <v>284</v>
      </c>
      <c r="B287" s="44">
        <v>2013</v>
      </c>
      <c r="C287" s="41" t="s">
        <v>1299</v>
      </c>
      <c r="D287" s="44" t="s">
        <v>288</v>
      </c>
      <c r="E287" s="44" t="s">
        <v>1300</v>
      </c>
      <c r="F287" s="50">
        <v>44.82</v>
      </c>
    </row>
    <row r="288" spans="1:6" ht="20.100000000000001" customHeight="1">
      <c r="A288" s="44">
        <v>285</v>
      </c>
      <c r="B288" s="45">
        <v>2013</v>
      </c>
      <c r="C288" s="47" t="s">
        <v>12</v>
      </c>
      <c r="D288" s="45" t="s">
        <v>290</v>
      </c>
      <c r="E288" s="45" t="s">
        <v>1867</v>
      </c>
      <c r="F288" s="50">
        <v>31.03</v>
      </c>
    </row>
    <row r="289" spans="1:6" ht="20.100000000000001" customHeight="1">
      <c r="A289" s="44">
        <v>286</v>
      </c>
      <c r="B289" s="45">
        <v>2013</v>
      </c>
      <c r="C289" s="47" t="s">
        <v>12</v>
      </c>
      <c r="D289" s="45" t="s">
        <v>1862</v>
      </c>
      <c r="E289" s="45" t="s">
        <v>1863</v>
      </c>
      <c r="F289" s="50">
        <v>30</v>
      </c>
    </row>
    <row r="290" spans="1:6" ht="20.100000000000001" customHeight="1">
      <c r="A290" s="44">
        <v>287</v>
      </c>
      <c r="B290" s="45">
        <v>2013</v>
      </c>
      <c r="C290" s="47" t="s">
        <v>12</v>
      </c>
      <c r="D290" s="45" t="s">
        <v>289</v>
      </c>
      <c r="E290" s="45" t="s">
        <v>1865</v>
      </c>
      <c r="F290" s="50">
        <v>158</v>
      </c>
    </row>
    <row r="291" spans="1:6" ht="20.100000000000001" customHeight="1">
      <c r="A291" s="44">
        <v>288</v>
      </c>
      <c r="B291" s="45">
        <v>2013</v>
      </c>
      <c r="C291" s="47" t="s">
        <v>1233</v>
      </c>
      <c r="D291" s="45" t="s">
        <v>291</v>
      </c>
      <c r="E291" s="45" t="s">
        <v>1302</v>
      </c>
      <c r="F291" s="50">
        <v>40</v>
      </c>
    </row>
    <row r="292" spans="1:6" ht="20.100000000000001" customHeight="1">
      <c r="A292" s="44">
        <v>289</v>
      </c>
      <c r="B292" s="45">
        <v>2013</v>
      </c>
      <c r="C292" s="47" t="s">
        <v>1233</v>
      </c>
      <c r="D292" s="45" t="s">
        <v>292</v>
      </c>
      <c r="E292" s="45" t="s">
        <v>1304</v>
      </c>
      <c r="F292" s="50">
        <v>40</v>
      </c>
    </row>
    <row r="293" spans="1:6" ht="20.100000000000001" customHeight="1">
      <c r="A293" s="44">
        <v>290</v>
      </c>
      <c r="B293" s="45">
        <v>2013</v>
      </c>
      <c r="C293" s="47" t="s">
        <v>1233</v>
      </c>
      <c r="D293" s="45" t="s">
        <v>293</v>
      </c>
      <c r="E293" s="45" t="s">
        <v>2987</v>
      </c>
      <c r="F293" s="50">
        <v>20</v>
      </c>
    </row>
    <row r="294" spans="1:6" ht="20.100000000000001" customHeight="1">
      <c r="A294" s="44">
        <v>291</v>
      </c>
      <c r="B294" s="44">
        <v>2013</v>
      </c>
      <c r="C294" s="41" t="s">
        <v>928</v>
      </c>
      <c r="D294" s="44" t="s">
        <v>929</v>
      </c>
      <c r="E294" s="44" t="s">
        <v>1988</v>
      </c>
      <c r="F294" s="50">
        <v>68.73</v>
      </c>
    </row>
    <row r="295" spans="1:6" ht="20.100000000000001" customHeight="1">
      <c r="A295" s="44">
        <v>292</v>
      </c>
      <c r="B295" s="44">
        <v>2013</v>
      </c>
      <c r="C295" s="41" t="s">
        <v>145</v>
      </c>
      <c r="D295" s="44" t="s">
        <v>294</v>
      </c>
      <c r="E295" s="44" t="s">
        <v>1830</v>
      </c>
      <c r="F295" s="50">
        <v>40</v>
      </c>
    </row>
    <row r="296" spans="1:6" ht="20.100000000000001" customHeight="1">
      <c r="A296" s="44">
        <v>293</v>
      </c>
      <c r="B296" s="45">
        <v>2013</v>
      </c>
      <c r="C296" s="47" t="s">
        <v>55</v>
      </c>
      <c r="D296" s="45" t="s">
        <v>295</v>
      </c>
      <c r="E296" s="45" t="s">
        <v>1722</v>
      </c>
      <c r="F296" s="50">
        <v>22</v>
      </c>
    </row>
    <row r="297" spans="1:6" ht="20.100000000000001" customHeight="1">
      <c r="A297" s="44">
        <v>294</v>
      </c>
      <c r="B297" s="45">
        <v>2013</v>
      </c>
      <c r="C297" s="47" t="s">
        <v>8</v>
      </c>
      <c r="D297" s="45" t="s">
        <v>296</v>
      </c>
      <c r="E297" s="45" t="s">
        <v>1307</v>
      </c>
      <c r="F297" s="50">
        <v>25</v>
      </c>
    </row>
    <row r="298" spans="1:6" ht="20.100000000000001" customHeight="1">
      <c r="A298" s="44">
        <v>295</v>
      </c>
      <c r="B298" s="44">
        <v>2013</v>
      </c>
      <c r="C298" s="41" t="s">
        <v>86</v>
      </c>
      <c r="D298" s="44" t="s">
        <v>297</v>
      </c>
      <c r="E298" s="44" t="s">
        <v>1880</v>
      </c>
      <c r="F298" s="50">
        <v>10</v>
      </c>
    </row>
    <row r="299" spans="1:6" ht="20.100000000000001" customHeight="1">
      <c r="A299" s="44">
        <v>296</v>
      </c>
      <c r="B299" s="44">
        <v>2013</v>
      </c>
      <c r="C299" s="41" t="s">
        <v>14</v>
      </c>
      <c r="D299" s="44" t="s">
        <v>298</v>
      </c>
      <c r="E299" s="44" t="s">
        <v>1309</v>
      </c>
      <c r="F299" s="50">
        <v>20</v>
      </c>
    </row>
    <row r="300" spans="1:6" ht="20.100000000000001" customHeight="1">
      <c r="A300" s="44">
        <v>297</v>
      </c>
      <c r="B300" s="44">
        <v>2013</v>
      </c>
      <c r="C300" s="41" t="s">
        <v>14</v>
      </c>
      <c r="D300" s="44" t="s">
        <v>1311</v>
      </c>
      <c r="E300" s="44" t="s">
        <v>1312</v>
      </c>
      <c r="F300" s="50">
        <v>60</v>
      </c>
    </row>
    <row r="301" spans="1:6" ht="20.100000000000001" customHeight="1">
      <c r="A301" s="44">
        <v>298</v>
      </c>
      <c r="B301" s="45">
        <v>2013</v>
      </c>
      <c r="C301" s="47" t="s">
        <v>43</v>
      </c>
      <c r="D301" s="45" t="s">
        <v>300</v>
      </c>
      <c r="E301" s="45" t="s">
        <v>1178</v>
      </c>
      <c r="F301" s="50">
        <v>49</v>
      </c>
    </row>
    <row r="302" spans="1:6" ht="20.100000000000001" customHeight="1">
      <c r="A302" s="44">
        <v>299</v>
      </c>
      <c r="B302" s="45">
        <v>2013</v>
      </c>
      <c r="C302" s="47" t="s">
        <v>43</v>
      </c>
      <c r="D302" s="45" t="s">
        <v>299</v>
      </c>
      <c r="E302" s="45" t="s">
        <v>1183</v>
      </c>
      <c r="F302" s="50">
        <v>64.84</v>
      </c>
    </row>
    <row r="303" spans="1:6" ht="20.100000000000001" customHeight="1">
      <c r="A303" s="44">
        <v>300</v>
      </c>
      <c r="B303" s="44">
        <v>2013</v>
      </c>
      <c r="C303" s="41" t="s">
        <v>26</v>
      </c>
      <c r="D303" s="44" t="s">
        <v>1882</v>
      </c>
      <c r="E303" s="44" t="s">
        <v>1883</v>
      </c>
      <c r="F303" s="50">
        <v>30</v>
      </c>
    </row>
    <row r="304" spans="1:6" ht="20.100000000000001" customHeight="1">
      <c r="A304" s="44">
        <v>301</v>
      </c>
      <c r="B304" s="45">
        <v>2013</v>
      </c>
      <c r="C304" s="47" t="s">
        <v>13</v>
      </c>
      <c r="D304" s="45" t="s">
        <v>951</v>
      </c>
      <c r="E304" s="45" t="s">
        <v>952</v>
      </c>
      <c r="F304" s="50">
        <v>6</v>
      </c>
    </row>
    <row r="305" spans="1:9" ht="20.100000000000001" customHeight="1">
      <c r="A305" s="44">
        <v>302</v>
      </c>
      <c r="B305" s="45">
        <v>2013</v>
      </c>
      <c r="C305" s="47" t="s">
        <v>13</v>
      </c>
      <c r="D305" s="45" t="s">
        <v>301</v>
      </c>
      <c r="E305" s="45" t="s">
        <v>970</v>
      </c>
      <c r="F305" s="50">
        <v>35</v>
      </c>
    </row>
    <row r="306" spans="1:9" ht="20.100000000000001" customHeight="1">
      <c r="A306" s="44">
        <v>303</v>
      </c>
      <c r="B306" s="45">
        <v>2013</v>
      </c>
      <c r="C306" s="47" t="s">
        <v>19</v>
      </c>
      <c r="D306" s="45" t="s">
        <v>302</v>
      </c>
      <c r="E306" s="45" t="s">
        <v>1314</v>
      </c>
      <c r="F306" s="50">
        <v>10</v>
      </c>
    </row>
    <row r="307" spans="1:9" ht="20.100000000000001" customHeight="1">
      <c r="A307" s="44">
        <v>304</v>
      </c>
      <c r="B307" s="45">
        <v>2013</v>
      </c>
      <c r="C307" s="47" t="s">
        <v>16</v>
      </c>
      <c r="D307" s="45" t="s">
        <v>303</v>
      </c>
      <c r="E307" s="45" t="s">
        <v>1236</v>
      </c>
      <c r="F307" s="50">
        <v>33.99</v>
      </c>
    </row>
    <row r="308" spans="1:9" ht="20.100000000000001" customHeight="1">
      <c r="A308" s="44">
        <v>305</v>
      </c>
      <c r="B308" s="45">
        <v>2013</v>
      </c>
      <c r="C308" s="47" t="s">
        <v>64</v>
      </c>
      <c r="D308" s="45" t="s">
        <v>2993</v>
      </c>
      <c r="E308" s="45" t="s">
        <v>1771</v>
      </c>
      <c r="F308" s="50">
        <v>10</v>
      </c>
    </row>
    <row r="309" spans="1:9" ht="20.100000000000001" customHeight="1">
      <c r="A309" s="44">
        <v>306</v>
      </c>
      <c r="B309" s="45">
        <v>2013</v>
      </c>
      <c r="C309" s="47" t="s">
        <v>64</v>
      </c>
      <c r="D309" s="45" t="s">
        <v>307</v>
      </c>
      <c r="E309" s="45" t="s">
        <v>1773</v>
      </c>
      <c r="F309" s="50">
        <v>10.15</v>
      </c>
    </row>
    <row r="310" spans="1:9" ht="20.100000000000001" customHeight="1">
      <c r="A310" s="44">
        <v>307</v>
      </c>
      <c r="B310" s="45">
        <v>2013</v>
      </c>
      <c r="C310" s="47" t="s">
        <v>64</v>
      </c>
      <c r="D310" s="45" t="s">
        <v>304</v>
      </c>
      <c r="E310" s="45" t="s">
        <v>1767</v>
      </c>
      <c r="F310" s="50">
        <v>10</v>
      </c>
    </row>
    <row r="311" spans="1:9" ht="20.100000000000001" customHeight="1">
      <c r="A311" s="44">
        <v>308</v>
      </c>
      <c r="B311" s="45">
        <v>2013</v>
      </c>
      <c r="C311" s="47" t="s">
        <v>64</v>
      </c>
      <c r="D311" s="45" t="s">
        <v>305</v>
      </c>
      <c r="E311" s="45" t="s">
        <v>1769</v>
      </c>
      <c r="F311" s="50">
        <v>10</v>
      </c>
    </row>
    <row r="312" spans="1:9" ht="20.100000000000001" customHeight="1">
      <c r="A312" s="44">
        <v>309</v>
      </c>
      <c r="B312" s="45">
        <v>2013</v>
      </c>
      <c r="C312" s="47" t="s">
        <v>37</v>
      </c>
      <c r="D312" s="45" t="s">
        <v>309</v>
      </c>
      <c r="E312" s="45" t="s">
        <v>1190</v>
      </c>
      <c r="F312" s="56">
        <v>10</v>
      </c>
    </row>
    <row r="313" spans="1:9" ht="20.100000000000001" customHeight="1">
      <c r="A313" s="44">
        <v>310</v>
      </c>
      <c r="B313" s="45">
        <v>2013</v>
      </c>
      <c r="C313" s="47" t="s">
        <v>37</v>
      </c>
      <c r="D313" s="45" t="s">
        <v>310</v>
      </c>
      <c r="E313" s="45" t="s">
        <v>1192</v>
      </c>
      <c r="F313" s="56">
        <v>10</v>
      </c>
    </row>
    <row r="314" spans="1:9" ht="20.100000000000001" customHeight="1">
      <c r="A314" s="44">
        <v>311</v>
      </c>
      <c r="B314" s="45">
        <v>2013</v>
      </c>
      <c r="C314" s="47" t="s">
        <v>37</v>
      </c>
      <c r="D314" s="45" t="s">
        <v>311</v>
      </c>
      <c r="E314" s="45" t="s">
        <v>1194</v>
      </c>
      <c r="F314" s="56">
        <v>10</v>
      </c>
    </row>
    <row r="315" spans="1:9" ht="20.100000000000001" customHeight="1">
      <c r="A315" s="44">
        <v>312</v>
      </c>
      <c r="B315" s="45">
        <v>2013</v>
      </c>
      <c r="C315" s="47" t="s">
        <v>37</v>
      </c>
      <c r="D315" s="45" t="s">
        <v>308</v>
      </c>
      <c r="E315" s="45" t="s">
        <v>1188</v>
      </c>
      <c r="F315" s="56">
        <v>19.5</v>
      </c>
    </row>
    <row r="316" spans="1:9" ht="20.100000000000001" customHeight="1">
      <c r="A316" s="44">
        <v>313</v>
      </c>
      <c r="B316" s="45">
        <v>2015</v>
      </c>
      <c r="C316" s="47" t="s">
        <v>37</v>
      </c>
      <c r="D316" s="45" t="s">
        <v>1197</v>
      </c>
      <c r="E316" s="45" t="s">
        <v>1198</v>
      </c>
      <c r="F316" s="56">
        <v>9</v>
      </c>
    </row>
    <row r="317" spans="1:9" ht="20.100000000000001" customHeight="1">
      <c r="A317" s="44">
        <v>314</v>
      </c>
      <c r="B317" s="44">
        <v>2013</v>
      </c>
      <c r="C317" s="44" t="s">
        <v>29</v>
      </c>
      <c r="D317" s="44" t="s">
        <v>313</v>
      </c>
      <c r="E317" s="44" t="s">
        <v>1537</v>
      </c>
      <c r="F317" s="50">
        <v>5</v>
      </c>
    </row>
    <row r="318" spans="1:9" ht="20.100000000000001" customHeight="1">
      <c r="A318" s="44">
        <v>315</v>
      </c>
      <c r="B318" s="44">
        <v>2013</v>
      </c>
      <c r="C318" s="44" t="s">
        <v>29</v>
      </c>
      <c r="D318" s="44" t="s">
        <v>312</v>
      </c>
      <c r="E318" s="44" t="s">
        <v>1535</v>
      </c>
      <c r="F318" s="50">
        <v>20</v>
      </c>
    </row>
    <row r="319" spans="1:9" ht="20.100000000000001" customHeight="1">
      <c r="A319" s="44">
        <v>316</v>
      </c>
      <c r="B319" s="45">
        <v>2013</v>
      </c>
      <c r="C319" s="44" t="s">
        <v>1496</v>
      </c>
      <c r="D319" s="45" t="s">
        <v>2178</v>
      </c>
      <c r="E319" s="43" t="s">
        <v>2179</v>
      </c>
      <c r="F319" s="50">
        <v>36.5</v>
      </c>
      <c r="G319" s="42"/>
      <c r="H319" s="42"/>
      <c r="I319" s="42"/>
    </row>
    <row r="320" spans="1:9" ht="20.100000000000001" customHeight="1">
      <c r="A320" s="44">
        <v>317</v>
      </c>
      <c r="B320" s="44">
        <v>2013</v>
      </c>
      <c r="C320" s="41" t="s">
        <v>104</v>
      </c>
      <c r="D320" s="44" t="s">
        <v>314</v>
      </c>
      <c r="E320" s="44" t="s">
        <v>1539</v>
      </c>
      <c r="F320" s="50">
        <v>85</v>
      </c>
    </row>
    <row r="321" spans="1:6" ht="20.100000000000001" customHeight="1">
      <c r="A321" s="44">
        <v>318</v>
      </c>
      <c r="B321" s="44">
        <v>2013</v>
      </c>
      <c r="C321" s="41" t="s">
        <v>104</v>
      </c>
      <c r="D321" s="44" t="s">
        <v>316</v>
      </c>
      <c r="E321" s="44" t="s">
        <v>1542</v>
      </c>
      <c r="F321" s="50">
        <v>5</v>
      </c>
    </row>
    <row r="322" spans="1:6" ht="20.100000000000001" customHeight="1">
      <c r="A322" s="44">
        <v>319</v>
      </c>
      <c r="B322" s="44">
        <v>2013</v>
      </c>
      <c r="C322" s="41" t="s">
        <v>104</v>
      </c>
      <c r="D322" s="44" t="s">
        <v>315</v>
      </c>
      <c r="E322" s="44" t="s">
        <v>1527</v>
      </c>
      <c r="F322" s="50">
        <v>10</v>
      </c>
    </row>
    <row r="323" spans="1:6" ht="20.100000000000001" customHeight="1">
      <c r="A323" s="44">
        <v>320</v>
      </c>
      <c r="B323" s="44">
        <v>2013</v>
      </c>
      <c r="C323" s="41" t="s">
        <v>104</v>
      </c>
      <c r="D323" s="44" t="s">
        <v>319</v>
      </c>
      <c r="E323" s="44" t="s">
        <v>1548</v>
      </c>
      <c r="F323" s="50">
        <v>25</v>
      </c>
    </row>
    <row r="324" spans="1:6" ht="20.100000000000001" customHeight="1">
      <c r="A324" s="44">
        <v>321</v>
      </c>
      <c r="B324" s="44">
        <v>2013</v>
      </c>
      <c r="C324" s="41" t="s">
        <v>104</v>
      </c>
      <c r="D324" s="44" t="s">
        <v>317</v>
      </c>
      <c r="E324" s="44" t="s">
        <v>1544</v>
      </c>
      <c r="F324" s="50">
        <v>20</v>
      </c>
    </row>
    <row r="325" spans="1:6" ht="20.100000000000001" customHeight="1">
      <c r="A325" s="44">
        <v>322</v>
      </c>
      <c r="B325" s="44">
        <v>2013</v>
      </c>
      <c r="C325" s="41" t="s">
        <v>104</v>
      </c>
      <c r="D325" s="45" t="s">
        <v>2673</v>
      </c>
      <c r="E325" s="44" t="s">
        <v>1546</v>
      </c>
      <c r="F325" s="50">
        <v>3</v>
      </c>
    </row>
    <row r="326" spans="1:6" ht="20.100000000000001" customHeight="1">
      <c r="A326" s="44">
        <v>323</v>
      </c>
      <c r="B326" s="45">
        <v>2013</v>
      </c>
      <c r="C326" s="47" t="s">
        <v>34</v>
      </c>
      <c r="D326" s="45" t="s">
        <v>320</v>
      </c>
      <c r="E326" s="45" t="s">
        <v>1886</v>
      </c>
      <c r="F326" s="50">
        <v>20.600999999999999</v>
      </c>
    </row>
    <row r="327" spans="1:6" ht="20.100000000000001" customHeight="1">
      <c r="A327" s="44">
        <v>324</v>
      </c>
      <c r="B327" s="44">
        <v>2013</v>
      </c>
      <c r="C327" s="41" t="s">
        <v>33</v>
      </c>
      <c r="D327" s="44" t="s">
        <v>321</v>
      </c>
      <c r="E327" s="44" t="s">
        <v>1550</v>
      </c>
      <c r="F327" s="50">
        <v>10.4</v>
      </c>
    </row>
    <row r="328" spans="1:6" ht="20.100000000000001" customHeight="1">
      <c r="A328" s="44">
        <v>325</v>
      </c>
      <c r="B328" s="44">
        <v>2013</v>
      </c>
      <c r="C328" s="41" t="s">
        <v>33</v>
      </c>
      <c r="D328" s="44" t="s">
        <v>322</v>
      </c>
      <c r="E328" s="44" t="s">
        <v>1552</v>
      </c>
      <c r="F328" s="50">
        <v>10</v>
      </c>
    </row>
    <row r="329" spans="1:6" ht="20.100000000000001" customHeight="1">
      <c r="A329" s="44">
        <v>326</v>
      </c>
      <c r="B329" s="44">
        <v>2013</v>
      </c>
      <c r="C329" s="41" t="s">
        <v>33</v>
      </c>
      <c r="D329" s="44" t="s">
        <v>323</v>
      </c>
      <c r="E329" s="44" t="s">
        <v>1554</v>
      </c>
      <c r="F329" s="50">
        <v>10</v>
      </c>
    </row>
    <row r="330" spans="1:6" ht="20.100000000000001" customHeight="1">
      <c r="A330" s="44">
        <v>327</v>
      </c>
      <c r="B330" s="44">
        <v>2013</v>
      </c>
      <c r="C330" s="41" t="s">
        <v>6</v>
      </c>
      <c r="D330" s="44" t="s">
        <v>324</v>
      </c>
      <c r="E330" s="44" t="s">
        <v>1316</v>
      </c>
      <c r="F330" s="50">
        <v>10</v>
      </c>
    </row>
    <row r="331" spans="1:6" ht="20.100000000000001" customHeight="1">
      <c r="A331" s="44">
        <v>328</v>
      </c>
      <c r="B331" s="44">
        <v>2013</v>
      </c>
      <c r="C331" s="41" t="s">
        <v>6</v>
      </c>
      <c r="D331" s="44" t="s">
        <v>2380</v>
      </c>
      <c r="E331" s="44" t="s">
        <v>1318</v>
      </c>
      <c r="F331" s="50">
        <v>10</v>
      </c>
    </row>
    <row r="332" spans="1:6" ht="20.100000000000001" customHeight="1">
      <c r="A332" s="44">
        <v>329</v>
      </c>
      <c r="B332" s="44">
        <v>2013</v>
      </c>
      <c r="C332" s="60" t="s">
        <v>6</v>
      </c>
      <c r="D332" s="44" t="s">
        <v>325</v>
      </c>
      <c r="E332" s="44" t="s">
        <v>1320</v>
      </c>
      <c r="F332" s="50">
        <v>5.76</v>
      </c>
    </row>
    <row r="333" spans="1:6" ht="20.100000000000001" customHeight="1">
      <c r="A333" s="44">
        <v>330</v>
      </c>
      <c r="B333" s="44">
        <v>2013</v>
      </c>
      <c r="C333" s="41" t="s">
        <v>3</v>
      </c>
      <c r="D333" s="44" t="s">
        <v>326</v>
      </c>
      <c r="E333" s="44" t="s">
        <v>1105</v>
      </c>
      <c r="F333" s="50">
        <v>42</v>
      </c>
    </row>
    <row r="334" spans="1:6" ht="20.100000000000001" customHeight="1">
      <c r="A334" s="44">
        <v>331</v>
      </c>
      <c r="B334" s="44">
        <v>2013</v>
      </c>
      <c r="C334" s="41" t="s">
        <v>56</v>
      </c>
      <c r="D334" s="44" t="s">
        <v>328</v>
      </c>
      <c r="E334" s="44" t="s">
        <v>1740</v>
      </c>
      <c r="F334" s="50">
        <v>35.75</v>
      </c>
    </row>
    <row r="335" spans="1:6" ht="20.100000000000001" customHeight="1">
      <c r="A335" s="44">
        <v>332</v>
      </c>
      <c r="B335" s="44">
        <v>2013</v>
      </c>
      <c r="C335" s="41" t="s">
        <v>56</v>
      </c>
      <c r="D335" s="44" t="s">
        <v>327</v>
      </c>
      <c r="E335" s="44" t="s">
        <v>1738</v>
      </c>
      <c r="F335" s="50">
        <v>3</v>
      </c>
    </row>
    <row r="336" spans="1:6" ht="20.100000000000001" customHeight="1">
      <c r="A336" s="44">
        <v>333</v>
      </c>
      <c r="B336" s="44">
        <v>2013</v>
      </c>
      <c r="C336" s="41" t="s">
        <v>57</v>
      </c>
      <c r="D336" s="44" t="s">
        <v>331</v>
      </c>
      <c r="E336" s="44" t="s">
        <v>1129</v>
      </c>
      <c r="F336" s="50">
        <v>9</v>
      </c>
    </row>
    <row r="337" spans="1:6" ht="20.100000000000001" customHeight="1">
      <c r="A337" s="44">
        <v>334</v>
      </c>
      <c r="B337" s="44">
        <v>2013</v>
      </c>
      <c r="C337" s="41" t="s">
        <v>57</v>
      </c>
      <c r="D337" s="44" t="s">
        <v>330</v>
      </c>
      <c r="E337" s="44" t="s">
        <v>1124</v>
      </c>
      <c r="F337" s="50">
        <v>71</v>
      </c>
    </row>
    <row r="338" spans="1:6" ht="20.100000000000001" customHeight="1">
      <c r="A338" s="44">
        <v>335</v>
      </c>
      <c r="B338" s="44">
        <v>2013</v>
      </c>
      <c r="C338" s="41" t="s">
        <v>57</v>
      </c>
      <c r="D338" s="44" t="s">
        <v>329</v>
      </c>
      <c r="E338" s="44" t="s">
        <v>1126</v>
      </c>
      <c r="F338" s="50">
        <v>5</v>
      </c>
    </row>
    <row r="339" spans="1:6" ht="20.100000000000001" customHeight="1">
      <c r="A339" s="44">
        <v>336</v>
      </c>
      <c r="B339" s="44">
        <v>2013</v>
      </c>
      <c r="C339" s="41" t="s">
        <v>57</v>
      </c>
      <c r="D339" s="44" t="s">
        <v>332</v>
      </c>
      <c r="E339" s="44" t="s">
        <v>1131</v>
      </c>
      <c r="F339" s="50">
        <v>8</v>
      </c>
    </row>
    <row r="340" spans="1:6" ht="20.100000000000001" customHeight="1">
      <c r="A340" s="44">
        <v>337</v>
      </c>
      <c r="B340" s="44">
        <v>2013</v>
      </c>
      <c r="C340" s="41" t="s">
        <v>57</v>
      </c>
      <c r="D340" s="44" t="s">
        <v>1132</v>
      </c>
      <c r="E340" s="44" t="s">
        <v>1133</v>
      </c>
      <c r="F340" s="50">
        <v>8</v>
      </c>
    </row>
    <row r="341" spans="1:6" ht="20.100000000000001" customHeight="1">
      <c r="A341" s="44">
        <v>338</v>
      </c>
      <c r="B341" s="44">
        <v>2014</v>
      </c>
      <c r="C341" s="41" t="s">
        <v>335</v>
      </c>
      <c r="D341" s="44" t="s">
        <v>336</v>
      </c>
      <c r="E341" s="44" t="s">
        <v>1829</v>
      </c>
      <c r="F341" s="50">
        <v>39.24</v>
      </c>
    </row>
    <row r="342" spans="1:6" ht="20.100000000000001" customHeight="1">
      <c r="A342" s="44">
        <v>339</v>
      </c>
      <c r="B342" s="44">
        <v>2014</v>
      </c>
      <c r="C342" s="41" t="s">
        <v>335</v>
      </c>
      <c r="D342" s="44" t="s">
        <v>334</v>
      </c>
      <c r="E342" s="44" t="s">
        <v>1828</v>
      </c>
      <c r="F342" s="50">
        <v>17</v>
      </c>
    </row>
    <row r="343" spans="1:6" ht="20.100000000000001" customHeight="1">
      <c r="A343" s="44">
        <v>340</v>
      </c>
      <c r="B343" s="44">
        <v>2014</v>
      </c>
      <c r="C343" s="41" t="s">
        <v>337</v>
      </c>
      <c r="D343" s="44" t="s">
        <v>338</v>
      </c>
      <c r="E343" s="44" t="s">
        <v>1887</v>
      </c>
      <c r="F343" s="50">
        <v>51.674999999999997</v>
      </c>
    </row>
    <row r="344" spans="1:6" ht="20.100000000000001" customHeight="1">
      <c r="A344" s="44">
        <v>341</v>
      </c>
      <c r="B344" s="44">
        <v>2014</v>
      </c>
      <c r="C344" s="41" t="s">
        <v>337</v>
      </c>
      <c r="D344" s="44" t="s">
        <v>339</v>
      </c>
      <c r="E344" s="44" t="s">
        <v>1888</v>
      </c>
      <c r="F344" s="50">
        <v>74.2</v>
      </c>
    </row>
    <row r="345" spans="1:6" ht="20.100000000000001" customHeight="1">
      <c r="A345" s="44">
        <v>342</v>
      </c>
      <c r="B345" s="44">
        <v>2014</v>
      </c>
      <c r="C345" s="41" t="s">
        <v>44</v>
      </c>
      <c r="D345" s="44" t="s">
        <v>340</v>
      </c>
      <c r="E345" s="44" t="s">
        <v>1043</v>
      </c>
      <c r="F345" s="50">
        <v>20</v>
      </c>
    </row>
    <row r="346" spans="1:6" ht="20.100000000000001" customHeight="1">
      <c r="A346" s="44">
        <v>343</v>
      </c>
      <c r="B346" s="45">
        <v>2014</v>
      </c>
      <c r="C346" s="47" t="s">
        <v>278</v>
      </c>
      <c r="D346" s="45" t="s">
        <v>343</v>
      </c>
      <c r="E346" s="45" t="s">
        <v>2553</v>
      </c>
      <c r="F346" s="50">
        <v>9</v>
      </c>
    </row>
    <row r="347" spans="1:6" ht="20.100000000000001" customHeight="1">
      <c r="A347" s="44">
        <v>344</v>
      </c>
      <c r="B347" s="45">
        <v>2014</v>
      </c>
      <c r="C347" s="47" t="s">
        <v>278</v>
      </c>
      <c r="D347" s="45" t="s">
        <v>341</v>
      </c>
      <c r="E347" s="45" t="s">
        <v>2554</v>
      </c>
      <c r="F347" s="50">
        <v>9</v>
      </c>
    </row>
    <row r="348" spans="1:6" ht="20.100000000000001" customHeight="1">
      <c r="A348" s="44">
        <v>345</v>
      </c>
      <c r="B348" s="45">
        <v>2014</v>
      </c>
      <c r="C348" s="47" t="s">
        <v>278</v>
      </c>
      <c r="D348" s="45" t="s">
        <v>348</v>
      </c>
      <c r="E348" s="45" t="s">
        <v>1326</v>
      </c>
      <c r="F348" s="50">
        <v>9</v>
      </c>
    </row>
    <row r="349" spans="1:6" ht="20.100000000000001" customHeight="1">
      <c r="A349" s="44">
        <v>346</v>
      </c>
      <c r="B349" s="44">
        <v>2014</v>
      </c>
      <c r="C349" s="41" t="s">
        <v>278</v>
      </c>
      <c r="D349" s="44" t="s">
        <v>342</v>
      </c>
      <c r="E349" s="44" t="s">
        <v>1321</v>
      </c>
      <c r="F349" s="50">
        <v>9</v>
      </c>
    </row>
    <row r="350" spans="1:6" ht="20.100000000000001" customHeight="1">
      <c r="A350" s="44">
        <v>347</v>
      </c>
      <c r="B350" s="44">
        <v>2014</v>
      </c>
      <c r="C350" s="41" t="s">
        <v>278</v>
      </c>
      <c r="D350" s="44" t="s">
        <v>344</v>
      </c>
      <c r="E350" s="44" t="s">
        <v>1322</v>
      </c>
      <c r="F350" s="50">
        <v>6</v>
      </c>
    </row>
    <row r="351" spans="1:6" ht="20.100000000000001" customHeight="1">
      <c r="A351" s="44">
        <v>348</v>
      </c>
      <c r="B351" s="44">
        <v>2014</v>
      </c>
      <c r="C351" s="41" t="s">
        <v>278</v>
      </c>
      <c r="D351" s="44" t="s">
        <v>345</v>
      </c>
      <c r="E351" s="44" t="s">
        <v>1323</v>
      </c>
      <c r="F351" s="50">
        <v>9</v>
      </c>
    </row>
    <row r="352" spans="1:6" s="59" customFormat="1" ht="20.100000000000001" customHeight="1">
      <c r="A352" s="44">
        <v>349</v>
      </c>
      <c r="B352" s="57">
        <v>2014</v>
      </c>
      <c r="C352" s="58" t="s">
        <v>278</v>
      </c>
      <c r="D352" s="57" t="s">
        <v>346</v>
      </c>
      <c r="E352" s="57" t="s">
        <v>1324</v>
      </c>
      <c r="F352" s="62">
        <v>12</v>
      </c>
    </row>
    <row r="353" spans="1:6" ht="20.100000000000001" customHeight="1">
      <c r="A353" s="44">
        <v>350</v>
      </c>
      <c r="B353" s="45">
        <v>2014</v>
      </c>
      <c r="C353" s="47" t="s">
        <v>278</v>
      </c>
      <c r="D353" s="45" t="s">
        <v>347</v>
      </c>
      <c r="E353" s="45" t="s">
        <v>1325</v>
      </c>
      <c r="F353" s="50">
        <v>9</v>
      </c>
    </row>
    <row r="354" spans="1:6" ht="20.100000000000001" customHeight="1">
      <c r="A354" s="44">
        <v>351</v>
      </c>
      <c r="B354" s="45">
        <v>2014</v>
      </c>
      <c r="C354" s="47" t="s">
        <v>278</v>
      </c>
      <c r="D354" s="45" t="s">
        <v>349</v>
      </c>
      <c r="E354" s="45" t="s">
        <v>1327</v>
      </c>
      <c r="F354" s="50">
        <v>5</v>
      </c>
    </row>
    <row r="355" spans="1:6" ht="20.100000000000001" customHeight="1">
      <c r="A355" s="44">
        <v>352</v>
      </c>
      <c r="B355" s="44">
        <v>2014</v>
      </c>
      <c r="C355" s="41" t="s">
        <v>122</v>
      </c>
      <c r="D355" s="44" t="s">
        <v>1959</v>
      </c>
      <c r="E355" s="44" t="s">
        <v>1920</v>
      </c>
      <c r="F355" s="50">
        <v>41</v>
      </c>
    </row>
    <row r="356" spans="1:6" ht="20.100000000000001" customHeight="1">
      <c r="A356" s="44">
        <v>353</v>
      </c>
      <c r="B356" s="45">
        <v>2014</v>
      </c>
      <c r="C356" s="47" t="s">
        <v>2589</v>
      </c>
      <c r="D356" s="45" t="s">
        <v>350</v>
      </c>
      <c r="E356" s="45" t="s">
        <v>1079</v>
      </c>
      <c r="F356" s="50">
        <v>15</v>
      </c>
    </row>
    <row r="357" spans="1:6" ht="20.100000000000001" customHeight="1">
      <c r="A357" s="44">
        <v>354</v>
      </c>
      <c r="B357" s="45">
        <v>2014</v>
      </c>
      <c r="C357" s="47" t="s">
        <v>2589</v>
      </c>
      <c r="D357" s="45" t="s">
        <v>352</v>
      </c>
      <c r="E357" s="45" t="s">
        <v>1080</v>
      </c>
      <c r="F357" s="50">
        <v>15</v>
      </c>
    </row>
    <row r="358" spans="1:6" ht="20.100000000000001" customHeight="1">
      <c r="A358" s="44">
        <v>355</v>
      </c>
      <c r="B358" s="45">
        <v>2014</v>
      </c>
      <c r="C358" s="47" t="s">
        <v>2589</v>
      </c>
      <c r="D358" s="45" t="s">
        <v>351</v>
      </c>
      <c r="E358" s="45" t="s">
        <v>1085</v>
      </c>
      <c r="F358" s="50">
        <v>5</v>
      </c>
    </row>
    <row r="359" spans="1:6" ht="20.100000000000001" customHeight="1">
      <c r="A359" s="44">
        <v>356</v>
      </c>
      <c r="B359" s="45">
        <v>2014</v>
      </c>
      <c r="C359" s="47" t="s">
        <v>2589</v>
      </c>
      <c r="D359" s="45" t="s">
        <v>353</v>
      </c>
      <c r="E359" s="45" t="s">
        <v>1084</v>
      </c>
      <c r="F359" s="50">
        <v>5</v>
      </c>
    </row>
    <row r="360" spans="1:6" ht="20.100000000000001" customHeight="1">
      <c r="A360" s="44">
        <v>357</v>
      </c>
      <c r="B360" s="44">
        <v>2014</v>
      </c>
      <c r="C360" s="41" t="s">
        <v>58</v>
      </c>
      <c r="D360" s="44" t="s">
        <v>354</v>
      </c>
      <c r="E360" s="44" t="s">
        <v>1054</v>
      </c>
      <c r="F360" s="50">
        <v>43.4</v>
      </c>
    </row>
    <row r="361" spans="1:6" ht="20.100000000000001" customHeight="1">
      <c r="A361" s="44">
        <v>358</v>
      </c>
      <c r="B361" s="44">
        <v>2014</v>
      </c>
      <c r="C361" s="41" t="s">
        <v>66</v>
      </c>
      <c r="D361" s="44" t="s">
        <v>1223</v>
      </c>
      <c r="E361" s="44" t="s">
        <v>1224</v>
      </c>
      <c r="F361" s="50">
        <v>30</v>
      </c>
    </row>
    <row r="362" spans="1:6" ht="20.100000000000001" customHeight="1">
      <c r="A362" s="44">
        <v>359</v>
      </c>
      <c r="B362" s="45">
        <v>2014</v>
      </c>
      <c r="C362" s="47" t="s">
        <v>1233</v>
      </c>
      <c r="D362" s="45" t="s">
        <v>355</v>
      </c>
      <c r="E362" s="45" t="s">
        <v>1328</v>
      </c>
      <c r="F362" s="50">
        <v>40</v>
      </c>
    </row>
    <row r="363" spans="1:6" ht="20.100000000000001" customHeight="1">
      <c r="A363" s="44">
        <v>360</v>
      </c>
      <c r="B363" s="45">
        <v>2014</v>
      </c>
      <c r="C363" s="47" t="s">
        <v>1233</v>
      </c>
      <c r="D363" s="45" t="s">
        <v>356</v>
      </c>
      <c r="E363" s="45" t="s">
        <v>1329</v>
      </c>
      <c r="F363" s="50">
        <v>20</v>
      </c>
    </row>
    <row r="364" spans="1:6" ht="20.100000000000001" customHeight="1">
      <c r="A364" s="44">
        <v>361</v>
      </c>
      <c r="B364" s="45">
        <v>2014</v>
      </c>
      <c r="C364" s="47" t="s">
        <v>1233</v>
      </c>
      <c r="D364" s="45" t="s">
        <v>357</v>
      </c>
      <c r="E364" s="45" t="s">
        <v>1330</v>
      </c>
      <c r="F364" s="50">
        <v>20</v>
      </c>
    </row>
    <row r="365" spans="1:6" ht="20.100000000000001" customHeight="1">
      <c r="A365" s="44">
        <v>362</v>
      </c>
      <c r="B365" s="45">
        <v>2014</v>
      </c>
      <c r="C365" s="47" t="s">
        <v>1233</v>
      </c>
      <c r="D365" s="45" t="s">
        <v>358</v>
      </c>
      <c r="E365" s="45" t="s">
        <v>1331</v>
      </c>
      <c r="F365" s="50">
        <v>10</v>
      </c>
    </row>
    <row r="366" spans="1:6" ht="20.100000000000001" customHeight="1">
      <c r="A366" s="44">
        <v>363</v>
      </c>
      <c r="B366" s="45">
        <v>2014</v>
      </c>
      <c r="C366" s="47" t="s">
        <v>76</v>
      </c>
      <c r="D366" s="45" t="s">
        <v>359</v>
      </c>
      <c r="E366" s="45" t="s">
        <v>989</v>
      </c>
      <c r="F366" s="50">
        <v>3</v>
      </c>
    </row>
    <row r="367" spans="1:6" ht="20.100000000000001" customHeight="1">
      <c r="A367" s="44">
        <v>364</v>
      </c>
      <c r="B367" s="44">
        <v>2014</v>
      </c>
      <c r="C367" s="41" t="s">
        <v>147</v>
      </c>
      <c r="D367" s="44" t="s">
        <v>360</v>
      </c>
      <c r="E367" s="44" t="s">
        <v>1009</v>
      </c>
      <c r="F367" s="50">
        <v>28.5</v>
      </c>
    </row>
    <row r="368" spans="1:6" ht="20.100000000000001" customHeight="1">
      <c r="A368" s="44">
        <v>365</v>
      </c>
      <c r="B368" s="45">
        <v>2014</v>
      </c>
      <c r="C368" s="47" t="s">
        <v>8</v>
      </c>
      <c r="D368" s="45" t="s">
        <v>364</v>
      </c>
      <c r="E368" s="45" t="s">
        <v>1335</v>
      </c>
      <c r="F368" s="50">
        <v>15.39</v>
      </c>
    </row>
    <row r="369" spans="1:6" ht="20.100000000000001" customHeight="1">
      <c r="A369" s="44">
        <v>366</v>
      </c>
      <c r="B369" s="45">
        <v>2014</v>
      </c>
      <c r="C369" s="47" t="s">
        <v>8</v>
      </c>
      <c r="D369" s="45" t="s">
        <v>361</v>
      </c>
      <c r="E369" s="45" t="s">
        <v>1332</v>
      </c>
      <c r="F369" s="50">
        <v>5</v>
      </c>
    </row>
    <row r="370" spans="1:6" ht="20.100000000000001" customHeight="1">
      <c r="A370" s="44">
        <v>367</v>
      </c>
      <c r="B370" s="45">
        <v>2014</v>
      </c>
      <c r="C370" s="47" t="s">
        <v>8</v>
      </c>
      <c r="D370" s="45" t="s">
        <v>362</v>
      </c>
      <c r="E370" s="45" t="s">
        <v>1333</v>
      </c>
      <c r="F370" s="50">
        <v>5</v>
      </c>
    </row>
    <row r="371" spans="1:6" ht="20.100000000000001" customHeight="1">
      <c r="A371" s="44">
        <v>368</v>
      </c>
      <c r="B371" s="45">
        <v>2014</v>
      </c>
      <c r="C371" s="47" t="s">
        <v>8</v>
      </c>
      <c r="D371" s="45" t="s">
        <v>363</v>
      </c>
      <c r="E371" s="45" t="s">
        <v>1334</v>
      </c>
      <c r="F371" s="50">
        <v>5</v>
      </c>
    </row>
    <row r="372" spans="1:6" ht="20.100000000000001" customHeight="1">
      <c r="A372" s="44">
        <v>369</v>
      </c>
      <c r="B372" s="45">
        <v>2014</v>
      </c>
      <c r="C372" s="47" t="s">
        <v>8</v>
      </c>
      <c r="D372" s="45" t="s">
        <v>365</v>
      </c>
      <c r="E372" s="45" t="s">
        <v>1336</v>
      </c>
      <c r="F372" s="50">
        <v>3</v>
      </c>
    </row>
    <row r="373" spans="1:6" ht="20.100000000000001" customHeight="1">
      <c r="A373" s="44">
        <v>370</v>
      </c>
      <c r="B373" s="44">
        <v>2014</v>
      </c>
      <c r="C373" s="41" t="s">
        <v>86</v>
      </c>
      <c r="D373" s="44" t="s">
        <v>369</v>
      </c>
      <c r="E373" s="44" t="s">
        <v>1892</v>
      </c>
      <c r="F373" s="50">
        <v>26</v>
      </c>
    </row>
    <row r="374" spans="1:6" ht="20.100000000000001" customHeight="1">
      <c r="A374" s="44">
        <v>371</v>
      </c>
      <c r="B374" s="44">
        <v>2014</v>
      </c>
      <c r="C374" s="41" t="s">
        <v>86</v>
      </c>
      <c r="D374" s="44" t="s">
        <v>368</v>
      </c>
      <c r="E374" s="44" t="s">
        <v>1891</v>
      </c>
      <c r="F374" s="50">
        <v>10</v>
      </c>
    </row>
    <row r="375" spans="1:6" ht="20.100000000000001" customHeight="1">
      <c r="A375" s="44">
        <v>372</v>
      </c>
      <c r="B375" s="44">
        <v>2014</v>
      </c>
      <c r="C375" s="41" t="s">
        <v>86</v>
      </c>
      <c r="D375" s="44" t="s">
        <v>366</v>
      </c>
      <c r="E375" s="44" t="s">
        <v>1889</v>
      </c>
      <c r="F375" s="50">
        <v>25</v>
      </c>
    </row>
    <row r="376" spans="1:6" ht="20.100000000000001" customHeight="1">
      <c r="A376" s="44">
        <v>373</v>
      </c>
      <c r="B376" s="44">
        <v>2014</v>
      </c>
      <c r="C376" s="41" t="s">
        <v>86</v>
      </c>
      <c r="D376" s="44" t="s">
        <v>367</v>
      </c>
      <c r="E376" s="44" t="s">
        <v>1890</v>
      </c>
      <c r="F376" s="50">
        <v>25.6</v>
      </c>
    </row>
    <row r="377" spans="1:6" ht="20.100000000000001" customHeight="1">
      <c r="A377" s="44">
        <v>374</v>
      </c>
      <c r="B377" s="45">
        <v>2014</v>
      </c>
      <c r="C377" s="47" t="s">
        <v>43</v>
      </c>
      <c r="D377" s="45" t="s">
        <v>371</v>
      </c>
      <c r="E377" s="45" t="s">
        <v>1174</v>
      </c>
      <c r="F377" s="50">
        <v>20.02</v>
      </c>
    </row>
    <row r="378" spans="1:6" ht="20.100000000000001" customHeight="1">
      <c r="A378" s="44">
        <v>375</v>
      </c>
      <c r="B378" s="45">
        <v>2014</v>
      </c>
      <c r="C378" s="47" t="s">
        <v>43</v>
      </c>
      <c r="D378" s="45" t="s">
        <v>370</v>
      </c>
      <c r="E378" s="45" t="s">
        <v>1164</v>
      </c>
      <c r="F378" s="50">
        <v>29</v>
      </c>
    </row>
    <row r="379" spans="1:6" ht="20.100000000000001" customHeight="1">
      <c r="A379" s="44">
        <v>376</v>
      </c>
      <c r="B379" s="44">
        <v>2014</v>
      </c>
      <c r="C379" s="41" t="s">
        <v>26</v>
      </c>
      <c r="D379" s="44" t="s">
        <v>1895</v>
      </c>
      <c r="E379" s="44" t="s">
        <v>1896</v>
      </c>
      <c r="F379" s="50">
        <v>18</v>
      </c>
    </row>
    <row r="380" spans="1:6" ht="20.100000000000001" customHeight="1">
      <c r="A380" s="44">
        <v>377</v>
      </c>
      <c r="B380" s="44">
        <v>2014</v>
      </c>
      <c r="C380" s="41" t="s">
        <v>26</v>
      </c>
      <c r="D380" s="44" t="s">
        <v>372</v>
      </c>
      <c r="E380" s="44" t="s">
        <v>1893</v>
      </c>
      <c r="F380" s="50">
        <v>30</v>
      </c>
    </row>
    <row r="381" spans="1:6" ht="20.100000000000001" customHeight="1">
      <c r="A381" s="44">
        <v>378</v>
      </c>
      <c r="B381" s="44">
        <v>2014</v>
      </c>
      <c r="C381" s="41" t="s">
        <v>26</v>
      </c>
      <c r="D381" s="44" t="s">
        <v>373</v>
      </c>
      <c r="E381" s="44" t="s">
        <v>1894</v>
      </c>
      <c r="F381" s="50">
        <v>14.4</v>
      </c>
    </row>
    <row r="382" spans="1:6" ht="20.100000000000001" customHeight="1">
      <c r="A382" s="44">
        <v>379</v>
      </c>
      <c r="B382" s="44">
        <v>2014</v>
      </c>
      <c r="C382" s="41" t="s">
        <v>26</v>
      </c>
      <c r="D382" s="44" t="s">
        <v>1897</v>
      </c>
      <c r="E382" s="44" t="s">
        <v>1898</v>
      </c>
      <c r="F382" s="50">
        <v>3</v>
      </c>
    </row>
    <row r="383" spans="1:6" ht="20.100000000000001" customHeight="1">
      <c r="A383" s="44">
        <v>380</v>
      </c>
      <c r="B383" s="44">
        <v>2014</v>
      </c>
      <c r="C383" s="41" t="s">
        <v>26</v>
      </c>
      <c r="D383" s="44" t="s">
        <v>374</v>
      </c>
      <c r="E383" s="44" t="s">
        <v>1836</v>
      </c>
      <c r="F383" s="50">
        <v>20</v>
      </c>
    </row>
    <row r="384" spans="1:6" ht="20.100000000000001" customHeight="1">
      <c r="A384" s="44">
        <v>381</v>
      </c>
      <c r="B384" s="44">
        <v>2014</v>
      </c>
      <c r="C384" s="41" t="s">
        <v>70</v>
      </c>
      <c r="D384" s="44" t="s">
        <v>376</v>
      </c>
      <c r="E384" s="44" t="s">
        <v>1556</v>
      </c>
      <c r="F384" s="50">
        <v>5</v>
      </c>
    </row>
    <row r="385" spans="1:6" ht="20.100000000000001" customHeight="1">
      <c r="A385" s="44">
        <v>382</v>
      </c>
      <c r="B385" s="44">
        <v>2014</v>
      </c>
      <c r="C385" s="41" t="s">
        <v>70</v>
      </c>
      <c r="D385" s="44" t="s">
        <v>375</v>
      </c>
      <c r="E385" s="44" t="s">
        <v>1555</v>
      </c>
      <c r="F385" s="50">
        <v>15</v>
      </c>
    </row>
    <row r="386" spans="1:6" ht="20.100000000000001" customHeight="1">
      <c r="A386" s="44">
        <v>383</v>
      </c>
      <c r="B386" s="44">
        <v>2014</v>
      </c>
      <c r="C386" s="41" t="s">
        <v>70</v>
      </c>
      <c r="D386" s="44" t="s">
        <v>377</v>
      </c>
      <c r="E386" s="44" t="s">
        <v>1557</v>
      </c>
      <c r="F386" s="50">
        <v>3</v>
      </c>
    </row>
    <row r="387" spans="1:6" ht="20.100000000000001" customHeight="1">
      <c r="A387" s="44">
        <v>384</v>
      </c>
      <c r="B387" s="45">
        <v>2014</v>
      </c>
      <c r="C387" s="47" t="s">
        <v>933</v>
      </c>
      <c r="D387" s="45" t="s">
        <v>944</v>
      </c>
      <c r="E387" s="45" t="s">
        <v>945</v>
      </c>
      <c r="F387" s="50">
        <v>15</v>
      </c>
    </row>
    <row r="388" spans="1:6" ht="20.100000000000001" customHeight="1">
      <c r="A388" s="44">
        <v>385</v>
      </c>
      <c r="B388" s="45">
        <v>2014</v>
      </c>
      <c r="C388" s="47" t="s">
        <v>19</v>
      </c>
      <c r="D388" s="45" t="s">
        <v>923</v>
      </c>
      <c r="E388" s="45" t="s">
        <v>1337</v>
      </c>
      <c r="F388" s="50">
        <v>10</v>
      </c>
    </row>
    <row r="389" spans="1:6" ht="20.100000000000001" customHeight="1">
      <c r="A389" s="44">
        <v>386</v>
      </c>
      <c r="B389" s="45">
        <v>2014</v>
      </c>
      <c r="C389" s="47" t="s">
        <v>19</v>
      </c>
      <c r="D389" s="45" t="s">
        <v>378</v>
      </c>
      <c r="E389" s="45" t="s">
        <v>1338</v>
      </c>
      <c r="F389" s="50">
        <v>10</v>
      </c>
    </row>
    <row r="390" spans="1:6" ht="20.100000000000001" customHeight="1">
      <c r="A390" s="44">
        <v>387</v>
      </c>
      <c r="B390" s="45">
        <v>2014</v>
      </c>
      <c r="C390" s="47" t="s">
        <v>16</v>
      </c>
      <c r="D390" s="45" t="s">
        <v>916</v>
      </c>
      <c r="E390" s="45" t="s">
        <v>1899</v>
      </c>
      <c r="F390" s="50">
        <v>18</v>
      </c>
    </row>
    <row r="391" spans="1:6" ht="20.100000000000001" customHeight="1">
      <c r="A391" s="44">
        <v>388</v>
      </c>
      <c r="B391" s="45">
        <v>2014</v>
      </c>
      <c r="C391" s="47" t="s">
        <v>64</v>
      </c>
      <c r="D391" s="45" t="s">
        <v>379</v>
      </c>
      <c r="E391" s="45" t="s">
        <v>1774</v>
      </c>
      <c r="F391" s="50">
        <v>10</v>
      </c>
    </row>
    <row r="392" spans="1:6" ht="20.100000000000001" customHeight="1">
      <c r="A392" s="44">
        <v>389</v>
      </c>
      <c r="B392" s="45">
        <v>2014</v>
      </c>
      <c r="C392" s="47" t="s">
        <v>64</v>
      </c>
      <c r="D392" s="45" t="s">
        <v>380</v>
      </c>
      <c r="E392" s="45" t="s">
        <v>1775</v>
      </c>
      <c r="F392" s="50">
        <v>20.02</v>
      </c>
    </row>
    <row r="393" spans="1:6" ht="20.100000000000001" customHeight="1">
      <c r="A393" s="44">
        <v>390</v>
      </c>
      <c r="B393" s="45">
        <v>2014</v>
      </c>
      <c r="C393" s="47" t="s">
        <v>64</v>
      </c>
      <c r="D393" s="45" t="s">
        <v>382</v>
      </c>
      <c r="E393" s="45" t="s">
        <v>1777</v>
      </c>
      <c r="F393" s="50">
        <v>20.3</v>
      </c>
    </row>
    <row r="394" spans="1:6" ht="20.100000000000001" customHeight="1">
      <c r="A394" s="44">
        <v>391</v>
      </c>
      <c r="B394" s="45">
        <v>2014</v>
      </c>
      <c r="C394" s="47" t="s">
        <v>64</v>
      </c>
      <c r="D394" s="45" t="s">
        <v>381</v>
      </c>
      <c r="E394" s="45" t="s">
        <v>1776</v>
      </c>
      <c r="F394" s="50">
        <v>10.14</v>
      </c>
    </row>
    <row r="395" spans="1:6" ht="20.100000000000001" customHeight="1">
      <c r="A395" s="44">
        <v>392</v>
      </c>
      <c r="B395" s="45">
        <v>2014</v>
      </c>
      <c r="C395" s="47" t="s">
        <v>37</v>
      </c>
      <c r="D395" s="45" t="s">
        <v>383</v>
      </c>
      <c r="E395" s="45" t="s">
        <v>1195</v>
      </c>
      <c r="F395" s="56">
        <v>10.4</v>
      </c>
    </row>
    <row r="396" spans="1:6" ht="20.100000000000001" customHeight="1">
      <c r="A396" s="44">
        <v>393</v>
      </c>
      <c r="B396" s="45">
        <v>2014</v>
      </c>
      <c r="C396" s="47" t="s">
        <v>37</v>
      </c>
      <c r="D396" s="45" t="s">
        <v>384</v>
      </c>
      <c r="E396" s="45" t="s">
        <v>1196</v>
      </c>
      <c r="F396" s="56">
        <v>25</v>
      </c>
    </row>
    <row r="397" spans="1:6" ht="20.100000000000001" customHeight="1">
      <c r="A397" s="44">
        <v>394</v>
      </c>
      <c r="B397" s="44">
        <v>2014</v>
      </c>
      <c r="C397" s="44" t="s">
        <v>29</v>
      </c>
      <c r="D397" s="44" t="s">
        <v>386</v>
      </c>
      <c r="E397" s="44" t="s">
        <v>1559</v>
      </c>
      <c r="F397" s="50">
        <v>20</v>
      </c>
    </row>
    <row r="398" spans="1:6" ht="20.100000000000001" customHeight="1">
      <c r="A398" s="44">
        <v>395</v>
      </c>
      <c r="B398" s="44">
        <v>2014</v>
      </c>
      <c r="C398" s="44" t="s">
        <v>29</v>
      </c>
      <c r="D398" s="44" t="s">
        <v>385</v>
      </c>
      <c r="E398" s="44" t="s">
        <v>1558</v>
      </c>
      <c r="F398" s="50">
        <v>25.5</v>
      </c>
    </row>
    <row r="399" spans="1:6" ht="20.100000000000001" customHeight="1">
      <c r="A399" s="44">
        <v>396</v>
      </c>
      <c r="B399" s="44">
        <v>2014</v>
      </c>
      <c r="C399" s="44" t="s">
        <v>29</v>
      </c>
      <c r="D399" s="44" t="s">
        <v>387</v>
      </c>
      <c r="E399" s="44" t="s">
        <v>1560</v>
      </c>
      <c r="F399" s="50">
        <v>15.6</v>
      </c>
    </row>
    <row r="400" spans="1:6" ht="20.100000000000001" customHeight="1">
      <c r="A400" s="44">
        <v>397</v>
      </c>
      <c r="B400" s="44">
        <v>2014</v>
      </c>
      <c r="C400" s="44" t="s">
        <v>29</v>
      </c>
      <c r="D400" s="44" t="s">
        <v>388</v>
      </c>
      <c r="E400" s="44" t="s">
        <v>1561</v>
      </c>
      <c r="F400" s="50">
        <v>6</v>
      </c>
    </row>
    <row r="401" spans="1:6" ht="20.100000000000001" customHeight="1">
      <c r="A401" s="44">
        <v>398</v>
      </c>
      <c r="B401" s="44">
        <v>2014</v>
      </c>
      <c r="C401" s="41" t="s">
        <v>104</v>
      </c>
      <c r="D401" s="44" t="s">
        <v>389</v>
      </c>
      <c r="E401" s="44" t="s">
        <v>2743</v>
      </c>
      <c r="F401" s="50">
        <v>15</v>
      </c>
    </row>
    <row r="402" spans="1:6" ht="20.100000000000001" customHeight="1">
      <c r="A402" s="44">
        <v>399</v>
      </c>
      <c r="B402" s="44">
        <v>2014</v>
      </c>
      <c r="C402" s="41" t="s">
        <v>104</v>
      </c>
      <c r="D402" s="44" t="s">
        <v>390</v>
      </c>
      <c r="E402" s="44" t="s">
        <v>1562</v>
      </c>
      <c r="F402" s="50">
        <v>6.24</v>
      </c>
    </row>
    <row r="403" spans="1:6" ht="20.100000000000001" customHeight="1">
      <c r="A403" s="44">
        <v>400</v>
      </c>
      <c r="B403" s="44">
        <v>2014</v>
      </c>
      <c r="C403" s="41" t="s">
        <v>104</v>
      </c>
      <c r="D403" s="44" t="s">
        <v>391</v>
      </c>
      <c r="E403" s="44" t="s">
        <v>1563</v>
      </c>
      <c r="F403" s="50">
        <v>15</v>
      </c>
    </row>
    <row r="404" spans="1:6" ht="20.100000000000001" customHeight="1">
      <c r="A404" s="44">
        <v>401</v>
      </c>
      <c r="B404" s="44">
        <v>2014</v>
      </c>
      <c r="C404" s="41" t="s">
        <v>104</v>
      </c>
      <c r="D404" s="45" t="s">
        <v>2672</v>
      </c>
      <c r="E404" s="44" t="s">
        <v>1564</v>
      </c>
      <c r="F404" s="50">
        <v>5</v>
      </c>
    </row>
    <row r="405" spans="1:6" ht="20.100000000000001" customHeight="1">
      <c r="A405" s="44">
        <v>402</v>
      </c>
      <c r="B405" s="44">
        <v>2014</v>
      </c>
      <c r="C405" s="41" t="s">
        <v>31</v>
      </c>
      <c r="D405" s="44" t="s">
        <v>392</v>
      </c>
      <c r="E405" s="44" t="s">
        <v>1692</v>
      </c>
      <c r="F405" s="50">
        <v>33</v>
      </c>
    </row>
    <row r="406" spans="1:6" ht="20.100000000000001" customHeight="1">
      <c r="A406" s="44">
        <v>403</v>
      </c>
      <c r="B406" s="45">
        <v>2014</v>
      </c>
      <c r="C406" s="47" t="s">
        <v>34</v>
      </c>
      <c r="D406" s="45" t="s">
        <v>914</v>
      </c>
      <c r="E406" s="45" t="s">
        <v>1900</v>
      </c>
      <c r="F406" s="50">
        <v>5</v>
      </c>
    </row>
    <row r="407" spans="1:6" ht="20.100000000000001" customHeight="1">
      <c r="A407" s="44">
        <v>404</v>
      </c>
      <c r="B407" s="44">
        <v>2014</v>
      </c>
      <c r="C407" s="41" t="s">
        <v>33</v>
      </c>
      <c r="D407" s="44" t="s">
        <v>393</v>
      </c>
      <c r="E407" s="44" t="s">
        <v>1565</v>
      </c>
      <c r="F407" s="50">
        <v>10</v>
      </c>
    </row>
    <row r="408" spans="1:6" ht="20.100000000000001" customHeight="1">
      <c r="A408" s="44">
        <v>405</v>
      </c>
      <c r="B408" s="44">
        <v>2014</v>
      </c>
      <c r="C408" s="41" t="s">
        <v>33</v>
      </c>
      <c r="D408" s="44" t="s">
        <v>394</v>
      </c>
      <c r="E408" s="44" t="s">
        <v>1566</v>
      </c>
      <c r="F408" s="50">
        <v>10</v>
      </c>
    </row>
    <row r="409" spans="1:6" ht="20.100000000000001" customHeight="1">
      <c r="A409" s="44">
        <v>406</v>
      </c>
      <c r="B409" s="44">
        <v>2014</v>
      </c>
      <c r="C409" s="41" t="s">
        <v>6</v>
      </c>
      <c r="D409" s="44" t="s">
        <v>395</v>
      </c>
      <c r="E409" s="44" t="s">
        <v>1339</v>
      </c>
      <c r="F409" s="50">
        <v>10</v>
      </c>
    </row>
    <row r="410" spans="1:6" ht="20.100000000000001" customHeight="1">
      <c r="A410" s="44">
        <v>407</v>
      </c>
      <c r="B410" s="44">
        <v>2014</v>
      </c>
      <c r="C410" s="41" t="s">
        <v>3</v>
      </c>
      <c r="D410" s="44" t="s">
        <v>396</v>
      </c>
      <c r="E410" s="44" t="s">
        <v>1106</v>
      </c>
      <c r="F410" s="50">
        <v>42</v>
      </c>
    </row>
    <row r="411" spans="1:6" ht="20.100000000000001" customHeight="1">
      <c r="A411" s="44">
        <v>408</v>
      </c>
      <c r="B411" s="44">
        <v>2014</v>
      </c>
      <c r="C411" s="41" t="s">
        <v>56</v>
      </c>
      <c r="D411" s="44" t="s">
        <v>398</v>
      </c>
      <c r="E411" s="44" t="s">
        <v>1742</v>
      </c>
      <c r="F411" s="50">
        <v>3</v>
      </c>
    </row>
    <row r="412" spans="1:6" ht="20.100000000000001" customHeight="1">
      <c r="A412" s="44">
        <v>409</v>
      </c>
      <c r="B412" s="44">
        <v>2014</v>
      </c>
      <c r="C412" s="41" t="s">
        <v>56</v>
      </c>
      <c r="D412" s="44" t="s">
        <v>397</v>
      </c>
      <c r="E412" s="44" t="s">
        <v>1741</v>
      </c>
      <c r="F412" s="50">
        <v>20.379000000000001</v>
      </c>
    </row>
    <row r="413" spans="1:6" ht="20.100000000000001" customHeight="1">
      <c r="A413" s="44">
        <v>410</v>
      </c>
      <c r="B413" s="44">
        <v>2010</v>
      </c>
      <c r="C413" s="41" t="s">
        <v>57</v>
      </c>
      <c r="D413" s="44" t="s">
        <v>1136</v>
      </c>
      <c r="E413" s="44" t="s">
        <v>1137</v>
      </c>
      <c r="F413" s="50">
        <v>10</v>
      </c>
    </row>
    <row r="414" spans="1:6" ht="20.100000000000001" customHeight="1">
      <c r="A414" s="44">
        <v>411</v>
      </c>
      <c r="B414" s="44">
        <v>2015</v>
      </c>
      <c r="C414" s="41" t="s">
        <v>2519</v>
      </c>
      <c r="D414" s="44" t="s">
        <v>2466</v>
      </c>
      <c r="E414" s="44" t="s">
        <v>1097</v>
      </c>
      <c r="F414" s="50">
        <v>5.0999999999999996</v>
      </c>
    </row>
    <row r="415" spans="1:6" ht="20.100000000000001" customHeight="1">
      <c r="A415" s="44">
        <v>412</v>
      </c>
      <c r="B415" s="44">
        <v>2015</v>
      </c>
      <c r="C415" s="41" t="s">
        <v>337</v>
      </c>
      <c r="D415" s="44" t="s">
        <v>402</v>
      </c>
      <c r="E415" s="44" t="s">
        <v>1903</v>
      </c>
      <c r="F415" s="50">
        <v>74.2</v>
      </c>
    </row>
    <row r="416" spans="1:6" ht="20.100000000000001" customHeight="1">
      <c r="A416" s="44">
        <v>413</v>
      </c>
      <c r="B416" s="44">
        <v>2015</v>
      </c>
      <c r="C416" s="41" t="s">
        <v>337</v>
      </c>
      <c r="D416" s="44" t="s">
        <v>400</v>
      </c>
      <c r="E416" s="44" t="s">
        <v>1901</v>
      </c>
      <c r="F416" s="50">
        <v>63.75</v>
      </c>
    </row>
    <row r="417" spans="1:6" ht="20.100000000000001" customHeight="1">
      <c r="A417" s="44">
        <v>414</v>
      </c>
      <c r="B417" s="44">
        <v>2015</v>
      </c>
      <c r="C417" s="41" t="s">
        <v>337</v>
      </c>
      <c r="D417" s="44" t="s">
        <v>401</v>
      </c>
      <c r="E417" s="44" t="s">
        <v>1902</v>
      </c>
      <c r="F417" s="50">
        <v>63.75</v>
      </c>
    </row>
    <row r="418" spans="1:6" ht="20.100000000000001" customHeight="1">
      <c r="A418" s="44">
        <v>415</v>
      </c>
      <c r="B418" s="44">
        <v>2015</v>
      </c>
      <c r="C418" s="41" t="s">
        <v>337</v>
      </c>
      <c r="D418" s="44" t="s">
        <v>403</v>
      </c>
      <c r="E418" s="44" t="s">
        <v>1904</v>
      </c>
      <c r="F418" s="50">
        <v>20</v>
      </c>
    </row>
    <row r="419" spans="1:6" ht="20.100000000000001" customHeight="1">
      <c r="A419" s="44">
        <v>416</v>
      </c>
      <c r="B419" s="44">
        <v>2015</v>
      </c>
      <c r="C419" s="41" t="s">
        <v>44</v>
      </c>
      <c r="D419" s="44" t="s">
        <v>404</v>
      </c>
      <c r="E419" s="44" t="s">
        <v>1047</v>
      </c>
      <c r="F419" s="50">
        <v>20</v>
      </c>
    </row>
    <row r="420" spans="1:6" ht="20.100000000000001" customHeight="1">
      <c r="A420" s="44">
        <v>417</v>
      </c>
      <c r="B420" s="44">
        <v>2015</v>
      </c>
      <c r="C420" s="41" t="s">
        <v>278</v>
      </c>
      <c r="D420" s="44" t="s">
        <v>405</v>
      </c>
      <c r="E420" s="44" t="s">
        <v>1340</v>
      </c>
      <c r="F420" s="50">
        <v>24</v>
      </c>
    </row>
    <row r="421" spans="1:6" ht="20.100000000000001" customHeight="1">
      <c r="A421" s="44">
        <v>418</v>
      </c>
      <c r="B421" s="44">
        <v>2015</v>
      </c>
      <c r="C421" s="41" t="s">
        <v>278</v>
      </c>
      <c r="D421" s="44" t="s">
        <v>2103</v>
      </c>
      <c r="E421" s="44" t="s">
        <v>1341</v>
      </c>
      <c r="F421" s="50">
        <v>72</v>
      </c>
    </row>
    <row r="422" spans="1:6" ht="20.100000000000001" customHeight="1">
      <c r="A422" s="44">
        <v>419</v>
      </c>
      <c r="B422" s="44">
        <v>2015</v>
      </c>
      <c r="C422" s="41" t="s">
        <v>122</v>
      </c>
      <c r="D422" s="44" t="s">
        <v>406</v>
      </c>
      <c r="E422" s="44" t="s">
        <v>1920</v>
      </c>
      <c r="F422" s="50">
        <v>30</v>
      </c>
    </row>
    <row r="423" spans="1:6" ht="20.100000000000001" customHeight="1">
      <c r="A423" s="44">
        <v>420</v>
      </c>
      <c r="B423" s="45">
        <v>2015</v>
      </c>
      <c r="C423" s="47" t="s">
        <v>407</v>
      </c>
      <c r="D423" s="45" t="s">
        <v>915</v>
      </c>
      <c r="E423" s="45" t="s">
        <v>1567</v>
      </c>
      <c r="F423" s="50">
        <v>6</v>
      </c>
    </row>
    <row r="424" spans="1:6" ht="20.100000000000001" customHeight="1">
      <c r="A424" s="44">
        <v>421</v>
      </c>
      <c r="B424" s="45">
        <v>2015</v>
      </c>
      <c r="C424" s="47" t="s">
        <v>236</v>
      </c>
      <c r="D424" s="45" t="s">
        <v>408</v>
      </c>
      <c r="E424" s="45" t="s">
        <v>1824</v>
      </c>
      <c r="F424" s="50">
        <v>20.6</v>
      </c>
    </row>
    <row r="425" spans="1:6" ht="20.100000000000001" customHeight="1">
      <c r="A425" s="44">
        <v>422</v>
      </c>
      <c r="B425" s="44">
        <v>2015</v>
      </c>
      <c r="C425" s="41" t="s">
        <v>409</v>
      </c>
      <c r="D425" s="44" t="s">
        <v>2478</v>
      </c>
      <c r="E425" s="44" t="s">
        <v>1095</v>
      </c>
      <c r="F425" s="50">
        <v>39</v>
      </c>
    </row>
    <row r="426" spans="1:6" ht="20.100000000000001" customHeight="1">
      <c r="A426" s="44">
        <v>423</v>
      </c>
      <c r="B426" s="44">
        <v>2015</v>
      </c>
      <c r="C426" s="41" t="s">
        <v>409</v>
      </c>
      <c r="D426" s="44" t="s">
        <v>409</v>
      </c>
      <c r="E426" s="44" t="s">
        <v>1094</v>
      </c>
      <c r="F426" s="50">
        <v>30</v>
      </c>
    </row>
    <row r="427" spans="1:6" ht="20.100000000000001" customHeight="1">
      <c r="A427" s="44">
        <v>424</v>
      </c>
      <c r="B427" s="44">
        <v>2015</v>
      </c>
      <c r="C427" s="41" t="s">
        <v>12</v>
      </c>
      <c r="D427" s="44" t="s">
        <v>410</v>
      </c>
      <c r="E427" s="44" t="s">
        <v>1870</v>
      </c>
      <c r="F427" s="50">
        <v>20</v>
      </c>
    </row>
    <row r="428" spans="1:6" ht="20.100000000000001" customHeight="1">
      <c r="A428" s="44">
        <v>425</v>
      </c>
      <c r="B428" s="45">
        <v>2015</v>
      </c>
      <c r="C428" s="47" t="s">
        <v>12</v>
      </c>
      <c r="D428" s="45" t="s">
        <v>411</v>
      </c>
      <c r="E428" s="45" t="s">
        <v>1871</v>
      </c>
      <c r="F428" s="50">
        <v>213.53</v>
      </c>
    </row>
    <row r="429" spans="1:6" ht="20.100000000000001" customHeight="1">
      <c r="A429" s="44">
        <v>426</v>
      </c>
      <c r="B429" s="44">
        <v>2015</v>
      </c>
      <c r="C429" s="41" t="s">
        <v>66</v>
      </c>
      <c r="D429" s="44" t="s">
        <v>1225</v>
      </c>
      <c r="E429" s="44" t="s">
        <v>1222</v>
      </c>
      <c r="F429" s="50">
        <v>26.25</v>
      </c>
    </row>
    <row r="430" spans="1:6" ht="20.100000000000001" customHeight="1">
      <c r="A430" s="44">
        <v>427</v>
      </c>
      <c r="B430" s="44">
        <v>2015</v>
      </c>
      <c r="C430" s="41" t="s">
        <v>66</v>
      </c>
      <c r="D430" s="44" t="s">
        <v>1228</v>
      </c>
      <c r="E430" s="44" t="s">
        <v>1229</v>
      </c>
      <c r="F430" s="50">
        <v>50.4</v>
      </c>
    </row>
    <row r="431" spans="1:6" ht="20.100000000000001" customHeight="1">
      <c r="A431" s="44">
        <v>428</v>
      </c>
      <c r="B431" s="44">
        <v>2015</v>
      </c>
      <c r="C431" s="41" t="s">
        <v>75</v>
      </c>
      <c r="D431" s="44" t="s">
        <v>412</v>
      </c>
      <c r="E431" s="44" t="s">
        <v>1342</v>
      </c>
      <c r="F431" s="50">
        <v>1992</v>
      </c>
    </row>
    <row r="432" spans="1:6" ht="20.100000000000001" customHeight="1">
      <c r="A432" s="44">
        <v>429</v>
      </c>
      <c r="B432" s="44">
        <v>2015</v>
      </c>
      <c r="C432" s="41" t="s">
        <v>75</v>
      </c>
      <c r="D432" s="44" t="s">
        <v>1344</v>
      </c>
      <c r="E432" s="44" t="s">
        <v>1345</v>
      </c>
      <c r="F432" s="50">
        <v>648</v>
      </c>
    </row>
    <row r="433" spans="1:6" ht="20.100000000000001" customHeight="1">
      <c r="A433" s="44">
        <v>430</v>
      </c>
      <c r="B433" s="44">
        <v>2015</v>
      </c>
      <c r="C433" s="41" t="s">
        <v>75</v>
      </c>
      <c r="D433" s="44" t="s">
        <v>413</v>
      </c>
      <c r="E433" s="44" t="s">
        <v>1343</v>
      </c>
      <c r="F433" s="50">
        <v>990</v>
      </c>
    </row>
    <row r="434" spans="1:6" ht="20.100000000000001" customHeight="1">
      <c r="A434" s="44">
        <v>431</v>
      </c>
      <c r="B434" s="44">
        <v>2015</v>
      </c>
      <c r="C434" s="41" t="s">
        <v>75</v>
      </c>
      <c r="D434" s="44" t="s">
        <v>414</v>
      </c>
      <c r="E434" s="44" t="s">
        <v>1346</v>
      </c>
      <c r="F434" s="50">
        <v>612</v>
      </c>
    </row>
    <row r="435" spans="1:6" ht="20.100000000000001" customHeight="1">
      <c r="A435" s="44">
        <v>432</v>
      </c>
      <c r="B435" s="45">
        <v>2015</v>
      </c>
      <c r="C435" s="47" t="s">
        <v>76</v>
      </c>
      <c r="D435" s="45" t="s">
        <v>415</v>
      </c>
      <c r="E435" s="45" t="s">
        <v>977</v>
      </c>
      <c r="F435" s="50">
        <v>14.4</v>
      </c>
    </row>
    <row r="436" spans="1:6" ht="20.100000000000001" customHeight="1">
      <c r="A436" s="44">
        <v>433</v>
      </c>
      <c r="B436" s="45">
        <v>2015</v>
      </c>
      <c r="C436" s="47" t="s">
        <v>76</v>
      </c>
      <c r="D436" s="45" t="s">
        <v>416</v>
      </c>
      <c r="E436" s="45" t="s">
        <v>988</v>
      </c>
      <c r="F436" s="50">
        <v>28.8</v>
      </c>
    </row>
    <row r="437" spans="1:6" s="63" customFormat="1" ht="20.100000000000001" customHeight="1">
      <c r="A437" s="44">
        <v>434</v>
      </c>
      <c r="B437" s="40">
        <v>2015</v>
      </c>
      <c r="C437" s="61" t="s">
        <v>76</v>
      </c>
      <c r="D437" s="40" t="s">
        <v>2630</v>
      </c>
      <c r="E437" s="40" t="s">
        <v>2631</v>
      </c>
      <c r="F437" s="62">
        <v>6.3</v>
      </c>
    </row>
    <row r="438" spans="1:6" ht="20.100000000000001" customHeight="1">
      <c r="A438" s="44">
        <v>435</v>
      </c>
      <c r="B438" s="44">
        <v>2015</v>
      </c>
      <c r="C438" s="41" t="s">
        <v>147</v>
      </c>
      <c r="D438" s="44" t="s">
        <v>418</v>
      </c>
      <c r="E438" s="44" t="s">
        <v>1015</v>
      </c>
      <c r="F438" s="50">
        <v>6</v>
      </c>
    </row>
    <row r="439" spans="1:6" ht="20.100000000000001" customHeight="1">
      <c r="A439" s="44">
        <v>436</v>
      </c>
      <c r="B439" s="44">
        <v>2015</v>
      </c>
      <c r="C439" s="41" t="s">
        <v>147</v>
      </c>
      <c r="D439" s="44" t="s">
        <v>417</v>
      </c>
      <c r="E439" s="44" t="s">
        <v>1012</v>
      </c>
      <c r="F439" s="50">
        <v>10</v>
      </c>
    </row>
    <row r="440" spans="1:6" ht="20.100000000000001" customHeight="1">
      <c r="A440" s="44">
        <v>437</v>
      </c>
      <c r="B440" s="44">
        <v>2015</v>
      </c>
      <c r="C440" s="41" t="s">
        <v>147</v>
      </c>
      <c r="D440" s="44" t="s">
        <v>419</v>
      </c>
      <c r="E440" s="44" t="s">
        <v>1014</v>
      </c>
      <c r="F440" s="50">
        <v>15</v>
      </c>
    </row>
    <row r="441" spans="1:6" ht="20.100000000000001" customHeight="1">
      <c r="A441" s="44">
        <v>438</v>
      </c>
      <c r="B441" s="45">
        <v>2015</v>
      </c>
      <c r="C441" s="47" t="s">
        <v>55</v>
      </c>
      <c r="D441" s="47" t="s">
        <v>2464</v>
      </c>
      <c r="E441" s="45" t="s">
        <v>1723</v>
      </c>
      <c r="F441" s="50">
        <v>15</v>
      </c>
    </row>
    <row r="442" spans="1:6" ht="20.100000000000001" customHeight="1">
      <c r="A442" s="44">
        <v>439</v>
      </c>
      <c r="B442" s="45">
        <v>2015</v>
      </c>
      <c r="C442" s="47" t="s">
        <v>8</v>
      </c>
      <c r="D442" s="45" t="s">
        <v>420</v>
      </c>
      <c r="E442" s="45" t="s">
        <v>1347</v>
      </c>
      <c r="F442" s="50">
        <v>44</v>
      </c>
    </row>
    <row r="443" spans="1:6" ht="20.100000000000001" customHeight="1">
      <c r="A443" s="44">
        <v>440</v>
      </c>
      <c r="B443" s="45">
        <v>2015</v>
      </c>
      <c r="C443" s="47" t="s">
        <v>8</v>
      </c>
      <c r="D443" s="45" t="s">
        <v>421</v>
      </c>
      <c r="E443" s="45" t="s">
        <v>1348</v>
      </c>
      <c r="F443" s="50">
        <v>8</v>
      </c>
    </row>
    <row r="444" spans="1:6" ht="20.100000000000001" customHeight="1">
      <c r="A444" s="44">
        <v>441</v>
      </c>
      <c r="B444" s="45">
        <v>2015</v>
      </c>
      <c r="C444" s="47" t="s">
        <v>8</v>
      </c>
      <c r="D444" s="45" t="s">
        <v>422</v>
      </c>
      <c r="E444" s="45" t="s">
        <v>1349</v>
      </c>
      <c r="F444" s="50">
        <v>13</v>
      </c>
    </row>
    <row r="445" spans="1:6" ht="20.100000000000001" customHeight="1">
      <c r="A445" s="44">
        <v>442</v>
      </c>
      <c r="B445" s="45">
        <v>2015</v>
      </c>
      <c r="C445" s="47" t="s">
        <v>8</v>
      </c>
      <c r="D445" s="45" t="s">
        <v>2786</v>
      </c>
      <c r="E445" s="45" t="s">
        <v>1350</v>
      </c>
      <c r="F445" s="50">
        <v>2</v>
      </c>
    </row>
    <row r="446" spans="1:6" ht="20.100000000000001" customHeight="1">
      <c r="A446" s="44">
        <v>443</v>
      </c>
      <c r="B446" s="45">
        <v>2015</v>
      </c>
      <c r="C446" s="47" t="s">
        <v>23</v>
      </c>
      <c r="D446" s="45" t="s">
        <v>423</v>
      </c>
      <c r="E446" s="45" t="s">
        <v>2808</v>
      </c>
      <c r="F446" s="50">
        <v>30</v>
      </c>
    </row>
    <row r="447" spans="1:6" ht="20.100000000000001" customHeight="1">
      <c r="A447" s="44">
        <v>444</v>
      </c>
      <c r="B447" s="45">
        <v>2015</v>
      </c>
      <c r="C447" s="47" t="s">
        <v>23</v>
      </c>
      <c r="D447" s="45" t="s">
        <v>423</v>
      </c>
      <c r="E447" s="45" t="s">
        <v>2808</v>
      </c>
      <c r="F447" s="50">
        <v>60</v>
      </c>
    </row>
    <row r="448" spans="1:6" ht="20.100000000000001" customHeight="1">
      <c r="A448" s="44">
        <v>445</v>
      </c>
      <c r="B448" s="44">
        <v>2015</v>
      </c>
      <c r="C448" s="41" t="s">
        <v>86</v>
      </c>
      <c r="D448" s="44" t="s">
        <v>424</v>
      </c>
      <c r="E448" s="44" t="s">
        <v>1905</v>
      </c>
      <c r="F448" s="50">
        <v>10</v>
      </c>
    </row>
    <row r="449" spans="1:6" ht="20.100000000000001" customHeight="1">
      <c r="A449" s="44">
        <v>446</v>
      </c>
      <c r="B449" s="44">
        <v>2015</v>
      </c>
      <c r="C449" s="41" t="s">
        <v>86</v>
      </c>
      <c r="D449" s="44" t="s">
        <v>428</v>
      </c>
      <c r="E449" s="44" t="s">
        <v>1909</v>
      </c>
      <c r="F449" s="50">
        <v>30</v>
      </c>
    </row>
    <row r="450" spans="1:6" ht="20.100000000000001" customHeight="1">
      <c r="A450" s="44">
        <v>447</v>
      </c>
      <c r="B450" s="44">
        <v>2015</v>
      </c>
      <c r="C450" s="41" t="s">
        <v>86</v>
      </c>
      <c r="D450" s="44" t="s">
        <v>425</v>
      </c>
      <c r="E450" s="44" t="s">
        <v>1906</v>
      </c>
      <c r="F450" s="50">
        <v>15</v>
      </c>
    </row>
    <row r="451" spans="1:6" ht="20.100000000000001" customHeight="1">
      <c r="A451" s="44">
        <v>448</v>
      </c>
      <c r="B451" s="44">
        <v>2015</v>
      </c>
      <c r="C451" s="41" t="s">
        <v>86</v>
      </c>
      <c r="D451" s="44" t="s">
        <v>426</v>
      </c>
      <c r="E451" s="44" t="s">
        <v>1907</v>
      </c>
      <c r="F451" s="50">
        <v>25</v>
      </c>
    </row>
    <row r="452" spans="1:6" ht="20.100000000000001" customHeight="1">
      <c r="A452" s="44">
        <v>449</v>
      </c>
      <c r="B452" s="44">
        <v>2015</v>
      </c>
      <c r="C452" s="41" t="s">
        <v>86</v>
      </c>
      <c r="D452" s="44" t="s">
        <v>427</v>
      </c>
      <c r="E452" s="44" t="s">
        <v>1908</v>
      </c>
      <c r="F452" s="50">
        <v>20</v>
      </c>
    </row>
    <row r="453" spans="1:6" ht="20.100000000000001" customHeight="1">
      <c r="A453" s="44">
        <v>450</v>
      </c>
      <c r="B453" s="45">
        <v>2015</v>
      </c>
      <c r="C453" s="47" t="s">
        <v>88</v>
      </c>
      <c r="D453" s="45" t="s">
        <v>2878</v>
      </c>
      <c r="E453" s="45" t="s">
        <v>1019</v>
      </c>
      <c r="F453" s="55">
        <v>15</v>
      </c>
    </row>
    <row r="454" spans="1:6" ht="20.100000000000001" customHeight="1">
      <c r="A454" s="44">
        <v>451</v>
      </c>
      <c r="B454" s="45">
        <v>2015</v>
      </c>
      <c r="C454" s="47" t="s">
        <v>88</v>
      </c>
      <c r="D454" s="45" t="s">
        <v>429</v>
      </c>
      <c r="E454" s="45" t="s">
        <v>1017</v>
      </c>
      <c r="F454" s="55">
        <v>44.52</v>
      </c>
    </row>
    <row r="455" spans="1:6" ht="20.100000000000001" customHeight="1">
      <c r="A455" s="44">
        <v>452</v>
      </c>
      <c r="B455" s="44">
        <v>2015</v>
      </c>
      <c r="C455" s="41" t="s">
        <v>14</v>
      </c>
      <c r="D455" s="44" t="s">
        <v>431</v>
      </c>
      <c r="E455" s="44" t="s">
        <v>1353</v>
      </c>
      <c r="F455" s="50">
        <v>21</v>
      </c>
    </row>
    <row r="456" spans="1:6" ht="20.100000000000001" customHeight="1">
      <c r="A456" s="44">
        <v>453</v>
      </c>
      <c r="B456" s="44">
        <v>2015</v>
      </c>
      <c r="C456" s="41" t="s">
        <v>14</v>
      </c>
      <c r="D456" s="44" t="s">
        <v>433</v>
      </c>
      <c r="E456" s="44" t="s">
        <v>1174</v>
      </c>
      <c r="F456" s="50">
        <v>25</v>
      </c>
    </row>
    <row r="457" spans="1:6" ht="20.100000000000001" customHeight="1">
      <c r="A457" s="44">
        <v>454</v>
      </c>
      <c r="B457" s="45">
        <v>2015</v>
      </c>
      <c r="C457" s="47" t="s">
        <v>14</v>
      </c>
      <c r="D457" s="45" t="s">
        <v>432</v>
      </c>
      <c r="E457" s="45" t="s">
        <v>1354</v>
      </c>
      <c r="F457" s="50">
        <v>10</v>
      </c>
    </row>
    <row r="458" spans="1:6" ht="20.100000000000001" customHeight="1">
      <c r="A458" s="44">
        <v>455</v>
      </c>
      <c r="B458" s="44">
        <v>2015</v>
      </c>
      <c r="C458" s="41" t="s">
        <v>14</v>
      </c>
      <c r="D458" s="44" t="s">
        <v>1355</v>
      </c>
      <c r="E458" s="44" t="s">
        <v>1356</v>
      </c>
      <c r="F458" s="50">
        <v>10</v>
      </c>
    </row>
    <row r="459" spans="1:6" ht="20.100000000000001" customHeight="1">
      <c r="A459" s="44">
        <v>456</v>
      </c>
      <c r="B459" s="44">
        <v>2015</v>
      </c>
      <c r="C459" s="41" t="s">
        <v>14</v>
      </c>
      <c r="D459" s="44" t="s">
        <v>430</v>
      </c>
      <c r="E459" s="44" t="s">
        <v>1351</v>
      </c>
      <c r="F459" s="50">
        <v>19.079999999999998</v>
      </c>
    </row>
    <row r="460" spans="1:6" ht="20.100000000000001" customHeight="1">
      <c r="A460" s="44">
        <v>457</v>
      </c>
      <c r="B460" s="45">
        <v>2015</v>
      </c>
      <c r="C460" s="47" t="s">
        <v>43</v>
      </c>
      <c r="D460" s="45" t="s">
        <v>436</v>
      </c>
      <c r="E460" s="45" t="s">
        <v>1165</v>
      </c>
      <c r="F460" s="50">
        <v>9</v>
      </c>
    </row>
    <row r="461" spans="1:6" ht="20.100000000000001" customHeight="1">
      <c r="A461" s="44">
        <v>458</v>
      </c>
      <c r="B461" s="45">
        <v>2015</v>
      </c>
      <c r="C461" s="47" t="s">
        <v>43</v>
      </c>
      <c r="D461" s="45" t="s">
        <v>437</v>
      </c>
      <c r="E461" s="45" t="s">
        <v>1166</v>
      </c>
      <c r="F461" s="50">
        <v>3</v>
      </c>
    </row>
    <row r="462" spans="1:6" ht="20.100000000000001" customHeight="1">
      <c r="A462" s="44">
        <v>459</v>
      </c>
      <c r="B462" s="45">
        <v>2015</v>
      </c>
      <c r="C462" s="47" t="s">
        <v>43</v>
      </c>
      <c r="D462" s="45" t="s">
        <v>434</v>
      </c>
      <c r="E462" s="45" t="s">
        <v>1179</v>
      </c>
      <c r="F462" s="50">
        <v>36</v>
      </c>
    </row>
    <row r="463" spans="1:6" ht="20.100000000000001" customHeight="1">
      <c r="A463" s="44">
        <v>460</v>
      </c>
      <c r="B463" s="45">
        <v>2015</v>
      </c>
      <c r="C463" s="47" t="s">
        <v>43</v>
      </c>
      <c r="D463" s="45" t="s">
        <v>435</v>
      </c>
      <c r="E463" s="45" t="s">
        <v>1180</v>
      </c>
      <c r="F463" s="50">
        <v>30</v>
      </c>
    </row>
    <row r="464" spans="1:6" ht="20.100000000000001" customHeight="1">
      <c r="A464" s="44">
        <v>461</v>
      </c>
      <c r="B464" s="44">
        <v>2015</v>
      </c>
      <c r="C464" s="41" t="s">
        <v>26</v>
      </c>
      <c r="D464" s="44" t="s">
        <v>439</v>
      </c>
      <c r="E464" s="44" t="s">
        <v>1911</v>
      </c>
      <c r="F464" s="50">
        <v>20</v>
      </c>
    </row>
    <row r="465" spans="1:6" ht="20.100000000000001" customHeight="1">
      <c r="A465" s="44">
        <v>462</v>
      </c>
      <c r="B465" s="44">
        <v>2015</v>
      </c>
      <c r="C465" s="41" t="s">
        <v>26</v>
      </c>
      <c r="D465" s="44" t="s">
        <v>1917</v>
      </c>
      <c r="E465" s="44" t="s">
        <v>1898</v>
      </c>
      <c r="F465" s="50">
        <v>10</v>
      </c>
    </row>
    <row r="466" spans="1:6" ht="20.100000000000001" customHeight="1">
      <c r="A466" s="44">
        <v>463</v>
      </c>
      <c r="B466" s="44">
        <v>2015</v>
      </c>
      <c r="C466" s="41" t="s">
        <v>26</v>
      </c>
      <c r="D466" s="44" t="s">
        <v>441</v>
      </c>
      <c r="E466" s="44" t="s">
        <v>1913</v>
      </c>
      <c r="F466" s="50">
        <v>10</v>
      </c>
    </row>
    <row r="467" spans="1:6" ht="20.100000000000001" customHeight="1">
      <c r="A467" s="44">
        <v>464</v>
      </c>
      <c r="B467" s="44">
        <v>2015</v>
      </c>
      <c r="C467" s="41" t="s">
        <v>26</v>
      </c>
      <c r="D467" s="44" t="s">
        <v>438</v>
      </c>
      <c r="E467" s="44" t="s">
        <v>1910</v>
      </c>
      <c r="F467" s="50">
        <v>62.4</v>
      </c>
    </row>
    <row r="468" spans="1:6" ht="20.100000000000001" customHeight="1">
      <c r="A468" s="44">
        <v>465</v>
      </c>
      <c r="B468" s="44">
        <v>2015</v>
      </c>
      <c r="C468" s="41" t="s">
        <v>26</v>
      </c>
      <c r="D468" s="44" t="s">
        <v>443</v>
      </c>
      <c r="E468" s="44" t="s">
        <v>1915</v>
      </c>
      <c r="F468" s="50">
        <v>9.9</v>
      </c>
    </row>
    <row r="469" spans="1:6" ht="20.100000000000001" customHeight="1">
      <c r="A469" s="44">
        <v>466</v>
      </c>
      <c r="B469" s="44">
        <v>2015</v>
      </c>
      <c r="C469" s="41" t="s">
        <v>26</v>
      </c>
      <c r="D469" s="44" t="s">
        <v>440</v>
      </c>
      <c r="E469" s="44" t="s">
        <v>1912</v>
      </c>
      <c r="F469" s="50">
        <v>3</v>
      </c>
    </row>
    <row r="470" spans="1:6" ht="20.100000000000001" customHeight="1">
      <c r="A470" s="44">
        <v>467</v>
      </c>
      <c r="B470" s="44">
        <v>2015</v>
      </c>
      <c r="C470" s="41" t="s">
        <v>26</v>
      </c>
      <c r="D470" s="44" t="s">
        <v>442</v>
      </c>
      <c r="E470" s="44" t="s">
        <v>1914</v>
      </c>
      <c r="F470" s="50">
        <v>2</v>
      </c>
    </row>
    <row r="471" spans="1:6" ht="20.100000000000001" customHeight="1">
      <c r="A471" s="44">
        <v>468</v>
      </c>
      <c r="B471" s="44">
        <v>2015</v>
      </c>
      <c r="C471" s="41" t="s">
        <v>26</v>
      </c>
      <c r="D471" s="44" t="s">
        <v>444</v>
      </c>
      <c r="E471" s="44" t="s">
        <v>1916</v>
      </c>
      <c r="F471" s="50">
        <v>18</v>
      </c>
    </row>
    <row r="472" spans="1:6" ht="20.100000000000001" customHeight="1">
      <c r="A472" s="44">
        <v>469</v>
      </c>
      <c r="B472" s="44">
        <v>2015</v>
      </c>
      <c r="C472" s="41" t="s">
        <v>1491</v>
      </c>
      <c r="D472" s="44" t="s">
        <v>446</v>
      </c>
      <c r="E472" s="44" t="s">
        <v>1569</v>
      </c>
      <c r="F472" s="50">
        <v>30</v>
      </c>
    </row>
    <row r="473" spans="1:6" ht="20.100000000000001" customHeight="1">
      <c r="A473" s="44">
        <v>470</v>
      </c>
      <c r="B473" s="44">
        <v>2015</v>
      </c>
      <c r="C473" s="41" t="s">
        <v>70</v>
      </c>
      <c r="D473" s="44" t="s">
        <v>447</v>
      </c>
      <c r="E473" s="44" t="s">
        <v>1570</v>
      </c>
      <c r="F473" s="50">
        <v>5</v>
      </c>
    </row>
    <row r="474" spans="1:6" ht="20.100000000000001" customHeight="1">
      <c r="A474" s="44">
        <v>471</v>
      </c>
      <c r="B474" s="44">
        <v>2015</v>
      </c>
      <c r="C474" s="41" t="s">
        <v>1491</v>
      </c>
      <c r="D474" s="44" t="s">
        <v>450</v>
      </c>
      <c r="E474" s="44" t="s">
        <v>1573</v>
      </c>
      <c r="F474" s="50">
        <v>8</v>
      </c>
    </row>
    <row r="475" spans="1:6" ht="20.100000000000001" customHeight="1">
      <c r="A475" s="44">
        <v>472</v>
      </c>
      <c r="B475" s="44">
        <v>2015</v>
      </c>
      <c r="C475" s="41" t="s">
        <v>1491</v>
      </c>
      <c r="D475" s="44" t="s">
        <v>445</v>
      </c>
      <c r="E475" s="44" t="s">
        <v>1568</v>
      </c>
      <c r="F475" s="50">
        <v>31</v>
      </c>
    </row>
    <row r="476" spans="1:6" ht="20.100000000000001" customHeight="1">
      <c r="A476" s="44">
        <v>473</v>
      </c>
      <c r="B476" s="44">
        <v>2015</v>
      </c>
      <c r="C476" s="41" t="s">
        <v>70</v>
      </c>
      <c r="D476" s="44" t="s">
        <v>448</v>
      </c>
      <c r="E476" s="44" t="s">
        <v>1571</v>
      </c>
      <c r="F476" s="50">
        <v>33.6</v>
      </c>
    </row>
    <row r="477" spans="1:6" ht="20.100000000000001" customHeight="1">
      <c r="A477" s="44">
        <v>474</v>
      </c>
      <c r="B477" s="44">
        <v>2015</v>
      </c>
      <c r="C477" s="41" t="s">
        <v>1491</v>
      </c>
      <c r="D477" s="44" t="s">
        <v>449</v>
      </c>
      <c r="E477" s="44" t="s">
        <v>1572</v>
      </c>
      <c r="F477" s="50">
        <v>1.8</v>
      </c>
    </row>
    <row r="478" spans="1:6" ht="20.100000000000001" customHeight="1">
      <c r="A478" s="44">
        <v>475</v>
      </c>
      <c r="B478" s="44">
        <v>2015</v>
      </c>
      <c r="C478" s="41" t="s">
        <v>70</v>
      </c>
      <c r="D478" s="44" t="s">
        <v>451</v>
      </c>
      <c r="E478" s="44" t="s">
        <v>1574</v>
      </c>
      <c r="F478" s="50">
        <v>3</v>
      </c>
    </row>
    <row r="479" spans="1:6" ht="20.100000000000001" customHeight="1">
      <c r="A479" s="44">
        <v>476</v>
      </c>
      <c r="B479" s="44">
        <v>2015</v>
      </c>
      <c r="C479" s="41" t="s">
        <v>70</v>
      </c>
      <c r="D479" s="44" t="s">
        <v>452</v>
      </c>
      <c r="E479" s="44" t="s">
        <v>1575</v>
      </c>
      <c r="F479" s="50">
        <v>10</v>
      </c>
    </row>
    <row r="480" spans="1:6" ht="20.100000000000001" customHeight="1">
      <c r="A480" s="44">
        <v>477</v>
      </c>
      <c r="B480" s="45">
        <v>2015</v>
      </c>
      <c r="C480" s="47" t="s">
        <v>13</v>
      </c>
      <c r="D480" s="45" t="s">
        <v>954</v>
      </c>
      <c r="E480" s="45" t="s">
        <v>955</v>
      </c>
      <c r="F480" s="50">
        <v>3</v>
      </c>
    </row>
    <row r="481" spans="1:6" ht="20.100000000000001" customHeight="1">
      <c r="A481" s="44">
        <v>478</v>
      </c>
      <c r="B481" s="45">
        <v>2015</v>
      </c>
      <c r="C481" s="47" t="s">
        <v>13</v>
      </c>
      <c r="D481" s="45" t="s">
        <v>453</v>
      </c>
      <c r="E481" s="45" t="s">
        <v>941</v>
      </c>
      <c r="F481" s="50">
        <v>20</v>
      </c>
    </row>
    <row r="482" spans="1:6" ht="20.100000000000001" customHeight="1">
      <c r="A482" s="44">
        <v>479</v>
      </c>
      <c r="B482" s="45">
        <v>2015</v>
      </c>
      <c r="C482" s="47" t="s">
        <v>13</v>
      </c>
      <c r="D482" s="45" t="s">
        <v>454</v>
      </c>
      <c r="E482" s="45" t="s">
        <v>961</v>
      </c>
      <c r="F482" s="50">
        <v>40</v>
      </c>
    </row>
    <row r="483" spans="1:6" ht="20.100000000000001" customHeight="1">
      <c r="A483" s="44">
        <v>480</v>
      </c>
      <c r="B483" s="45">
        <v>2015</v>
      </c>
      <c r="C483" s="47" t="s">
        <v>19</v>
      </c>
      <c r="D483" s="45" t="s">
        <v>455</v>
      </c>
      <c r="E483" s="45" t="s">
        <v>1359</v>
      </c>
      <c r="F483" s="50">
        <v>10</v>
      </c>
    </row>
    <row r="484" spans="1:6" ht="20.100000000000001" customHeight="1">
      <c r="A484" s="44">
        <v>481</v>
      </c>
      <c r="B484" s="45">
        <v>2015</v>
      </c>
      <c r="C484" s="47" t="s">
        <v>19</v>
      </c>
      <c r="D484" s="45" t="s">
        <v>2255</v>
      </c>
      <c r="E484" s="45" t="s">
        <v>1360</v>
      </c>
      <c r="F484" s="50">
        <v>10</v>
      </c>
    </row>
    <row r="485" spans="1:6" ht="20.100000000000001" customHeight="1">
      <c r="A485" s="44">
        <v>482</v>
      </c>
      <c r="B485" s="45">
        <v>2015</v>
      </c>
      <c r="C485" s="47" t="s">
        <v>19</v>
      </c>
      <c r="D485" s="45" t="s">
        <v>922</v>
      </c>
      <c r="E485" s="45" t="s">
        <v>2654</v>
      </c>
      <c r="F485" s="50">
        <v>10</v>
      </c>
    </row>
    <row r="486" spans="1:6" ht="20.100000000000001" customHeight="1">
      <c r="A486" s="44">
        <v>483</v>
      </c>
      <c r="B486" s="45">
        <v>2015</v>
      </c>
      <c r="C486" s="47" t="s">
        <v>19</v>
      </c>
      <c r="D486" s="45" t="s">
        <v>2070</v>
      </c>
      <c r="E486" s="45" t="s">
        <v>1357</v>
      </c>
      <c r="F486" s="50">
        <v>38.159999999999997</v>
      </c>
    </row>
    <row r="487" spans="1:6" ht="20.100000000000001" customHeight="1">
      <c r="A487" s="44">
        <v>484</v>
      </c>
      <c r="B487" s="45">
        <v>2015</v>
      </c>
      <c r="C487" s="47" t="s">
        <v>19</v>
      </c>
      <c r="D487" s="45" t="s">
        <v>2505</v>
      </c>
      <c r="E487" s="45" t="s">
        <v>1358</v>
      </c>
      <c r="F487" s="50">
        <v>10</v>
      </c>
    </row>
    <row r="488" spans="1:6" ht="20.100000000000001" customHeight="1">
      <c r="A488" s="44">
        <v>485</v>
      </c>
      <c r="B488" s="45">
        <v>2015</v>
      </c>
      <c r="C488" s="47" t="s">
        <v>16</v>
      </c>
      <c r="D488" s="45" t="s">
        <v>456</v>
      </c>
      <c r="E488" s="45" t="s">
        <v>2677</v>
      </c>
      <c r="F488" s="50">
        <v>6</v>
      </c>
    </row>
    <row r="489" spans="1:6" ht="20.100000000000001" customHeight="1">
      <c r="A489" s="44">
        <v>486</v>
      </c>
      <c r="B489" s="45">
        <v>2015</v>
      </c>
      <c r="C489" s="47" t="s">
        <v>16</v>
      </c>
      <c r="D489" s="45" t="s">
        <v>457</v>
      </c>
      <c r="E489" s="45" t="s">
        <v>1919</v>
      </c>
      <c r="F489" s="50">
        <v>8</v>
      </c>
    </row>
    <row r="490" spans="1:6" ht="20.100000000000001" customHeight="1">
      <c r="A490" s="44">
        <v>487</v>
      </c>
      <c r="B490" s="45">
        <v>2015</v>
      </c>
      <c r="C490" s="47" t="s">
        <v>16</v>
      </c>
      <c r="D490" s="45" t="s">
        <v>920</v>
      </c>
      <c r="E490" s="45" t="s">
        <v>1918</v>
      </c>
      <c r="F490" s="50">
        <v>13</v>
      </c>
    </row>
    <row r="491" spans="1:6" ht="20.100000000000001" customHeight="1">
      <c r="A491" s="44">
        <v>488</v>
      </c>
      <c r="B491" s="45">
        <v>2015</v>
      </c>
      <c r="C491" s="47" t="s">
        <v>64</v>
      </c>
      <c r="D491" s="45" t="s">
        <v>2523</v>
      </c>
      <c r="E491" s="45" t="s">
        <v>1778</v>
      </c>
      <c r="F491" s="50">
        <v>10</v>
      </c>
    </row>
    <row r="492" spans="1:6" ht="20.100000000000001" customHeight="1">
      <c r="A492" s="44">
        <v>489</v>
      </c>
      <c r="B492" s="45">
        <v>2015</v>
      </c>
      <c r="C492" s="47" t="s">
        <v>64</v>
      </c>
      <c r="D492" s="45" t="s">
        <v>2994</v>
      </c>
      <c r="E492" s="45" t="s">
        <v>1781</v>
      </c>
      <c r="F492" s="50">
        <v>18</v>
      </c>
    </row>
    <row r="493" spans="1:6" ht="20.100000000000001" customHeight="1">
      <c r="A493" s="44">
        <v>490</v>
      </c>
      <c r="B493" s="45">
        <v>2015</v>
      </c>
      <c r="C493" s="47" t="s">
        <v>64</v>
      </c>
      <c r="D493" s="45" t="s">
        <v>2524</v>
      </c>
      <c r="E493" s="45" t="s">
        <v>1785</v>
      </c>
      <c r="F493" s="50">
        <v>10</v>
      </c>
    </row>
    <row r="494" spans="1:6" ht="20.100000000000001" customHeight="1">
      <c r="A494" s="44">
        <v>491</v>
      </c>
      <c r="B494" s="45">
        <v>2015</v>
      </c>
      <c r="C494" s="47" t="s">
        <v>64</v>
      </c>
      <c r="D494" s="45" t="s">
        <v>459</v>
      </c>
      <c r="E494" s="45" t="s">
        <v>1783</v>
      </c>
      <c r="F494" s="50">
        <v>21</v>
      </c>
    </row>
    <row r="495" spans="1:6" ht="20.100000000000001" customHeight="1">
      <c r="A495" s="44">
        <v>492</v>
      </c>
      <c r="B495" s="45">
        <v>2015</v>
      </c>
      <c r="C495" s="47" t="s">
        <v>64</v>
      </c>
      <c r="D495" s="45" t="s">
        <v>461</v>
      </c>
      <c r="E495" s="45" t="s">
        <v>1787</v>
      </c>
      <c r="F495" s="50">
        <v>20</v>
      </c>
    </row>
    <row r="496" spans="1:6" ht="20.100000000000001" customHeight="1">
      <c r="A496" s="44">
        <v>493</v>
      </c>
      <c r="B496" s="45">
        <v>2015</v>
      </c>
      <c r="C496" s="47" t="s">
        <v>64</v>
      </c>
      <c r="D496" s="45" t="s">
        <v>458</v>
      </c>
      <c r="E496" s="45" t="s">
        <v>1782</v>
      </c>
      <c r="F496" s="50">
        <v>10</v>
      </c>
    </row>
    <row r="497" spans="1:6" ht="20.100000000000001" customHeight="1">
      <c r="A497" s="44">
        <v>494</v>
      </c>
      <c r="B497" s="45">
        <v>2015</v>
      </c>
      <c r="C497" s="47" t="s">
        <v>64</v>
      </c>
      <c r="D497" s="45" t="s">
        <v>460</v>
      </c>
      <c r="E497" s="45" t="s">
        <v>1784</v>
      </c>
      <c r="F497" s="50">
        <v>15</v>
      </c>
    </row>
    <row r="498" spans="1:6" ht="20.100000000000001" customHeight="1">
      <c r="A498" s="44">
        <v>495</v>
      </c>
      <c r="B498" s="45">
        <v>2015</v>
      </c>
      <c r="C498" s="47" t="s">
        <v>64</v>
      </c>
      <c r="D498" s="45" t="s">
        <v>2525</v>
      </c>
      <c r="E498" s="45" t="s">
        <v>1786</v>
      </c>
      <c r="F498" s="50">
        <v>10</v>
      </c>
    </row>
    <row r="499" spans="1:6" ht="20.100000000000001" customHeight="1">
      <c r="A499" s="44">
        <v>496</v>
      </c>
      <c r="B499" s="45">
        <v>2015</v>
      </c>
      <c r="C499" s="47" t="s">
        <v>64</v>
      </c>
      <c r="D499" s="45" t="s">
        <v>2526</v>
      </c>
      <c r="E499" s="45" t="s">
        <v>1779</v>
      </c>
      <c r="F499" s="50">
        <v>12.5</v>
      </c>
    </row>
    <row r="500" spans="1:6" ht="20.100000000000001" customHeight="1">
      <c r="A500" s="44">
        <v>497</v>
      </c>
      <c r="B500" s="45">
        <v>2015</v>
      </c>
      <c r="C500" s="47" t="s">
        <v>64</v>
      </c>
      <c r="D500" s="45" t="s">
        <v>2527</v>
      </c>
      <c r="E500" s="45" t="s">
        <v>1780</v>
      </c>
      <c r="F500" s="50">
        <v>22.5</v>
      </c>
    </row>
    <row r="501" spans="1:6" ht="20.100000000000001" customHeight="1">
      <c r="A501" s="44">
        <v>498</v>
      </c>
      <c r="B501" s="45">
        <v>2015</v>
      </c>
      <c r="C501" s="47" t="s">
        <v>37</v>
      </c>
      <c r="D501" s="45" t="s">
        <v>464</v>
      </c>
      <c r="E501" s="45" t="s">
        <v>1201</v>
      </c>
      <c r="F501" s="56">
        <v>48</v>
      </c>
    </row>
    <row r="502" spans="1:6" ht="20.100000000000001" customHeight="1">
      <c r="A502" s="44">
        <v>499</v>
      </c>
      <c r="B502" s="45">
        <v>2015</v>
      </c>
      <c r="C502" s="47" t="s">
        <v>37</v>
      </c>
      <c r="D502" s="45" t="s">
        <v>465</v>
      </c>
      <c r="E502" s="45" t="s">
        <v>1202</v>
      </c>
      <c r="F502" s="56">
        <v>19.22</v>
      </c>
    </row>
    <row r="503" spans="1:6" ht="20.100000000000001" customHeight="1">
      <c r="A503" s="44">
        <v>500</v>
      </c>
      <c r="B503" s="45">
        <v>2015</v>
      </c>
      <c r="C503" s="47" t="s">
        <v>37</v>
      </c>
      <c r="D503" s="45" t="s">
        <v>463</v>
      </c>
      <c r="E503" s="45" t="s">
        <v>1200</v>
      </c>
      <c r="F503" s="56">
        <v>22.44</v>
      </c>
    </row>
    <row r="504" spans="1:6" ht="20.100000000000001" customHeight="1">
      <c r="A504" s="44">
        <v>501</v>
      </c>
      <c r="B504" s="45">
        <v>2015</v>
      </c>
      <c r="C504" s="47" t="s">
        <v>37</v>
      </c>
      <c r="D504" s="45" t="s">
        <v>462</v>
      </c>
      <c r="E504" s="45" t="s">
        <v>1199</v>
      </c>
      <c r="F504" s="56">
        <v>19.38</v>
      </c>
    </row>
    <row r="505" spans="1:6" ht="20.100000000000001" customHeight="1">
      <c r="A505" s="44">
        <v>502</v>
      </c>
      <c r="B505" s="44">
        <v>2015</v>
      </c>
      <c r="C505" s="44" t="s">
        <v>29</v>
      </c>
      <c r="D505" s="44" t="s">
        <v>466</v>
      </c>
      <c r="E505" s="44" t="s">
        <v>1576</v>
      </c>
      <c r="F505" s="50">
        <v>10</v>
      </c>
    </row>
    <row r="506" spans="1:6" ht="20.100000000000001" customHeight="1">
      <c r="A506" s="44">
        <v>503</v>
      </c>
      <c r="B506" s="44">
        <v>2015</v>
      </c>
      <c r="C506" s="44" t="s">
        <v>29</v>
      </c>
      <c r="D506" s="44" t="s">
        <v>467</v>
      </c>
      <c r="E506" s="44" t="s">
        <v>1577</v>
      </c>
      <c r="F506" s="50">
        <v>97.2</v>
      </c>
    </row>
    <row r="507" spans="1:6" ht="20.100000000000001" customHeight="1">
      <c r="A507" s="44">
        <v>504</v>
      </c>
      <c r="B507" s="44">
        <v>2015</v>
      </c>
      <c r="C507" s="41" t="s">
        <v>104</v>
      </c>
      <c r="D507" s="44" t="s">
        <v>473</v>
      </c>
      <c r="E507" s="44" t="s">
        <v>1583</v>
      </c>
      <c r="F507" s="50">
        <v>10</v>
      </c>
    </row>
    <row r="508" spans="1:6" ht="20.100000000000001" customHeight="1">
      <c r="A508" s="44">
        <v>505</v>
      </c>
      <c r="B508" s="44">
        <v>2015</v>
      </c>
      <c r="C508" s="41" t="s">
        <v>104</v>
      </c>
      <c r="D508" s="44" t="s">
        <v>471</v>
      </c>
      <c r="E508" s="44" t="s">
        <v>1581</v>
      </c>
      <c r="F508" s="50">
        <v>3</v>
      </c>
    </row>
    <row r="509" spans="1:6" ht="20.100000000000001" customHeight="1">
      <c r="A509" s="44">
        <v>506</v>
      </c>
      <c r="B509" s="44">
        <v>2015</v>
      </c>
      <c r="C509" s="41" t="s">
        <v>104</v>
      </c>
      <c r="D509" s="44" t="s">
        <v>469</v>
      </c>
      <c r="E509" s="44" t="s">
        <v>1579</v>
      </c>
      <c r="F509" s="50">
        <v>3</v>
      </c>
    </row>
    <row r="510" spans="1:6" ht="20.100000000000001" customHeight="1">
      <c r="A510" s="44">
        <v>507</v>
      </c>
      <c r="B510" s="44">
        <v>2015</v>
      </c>
      <c r="C510" s="41" t="s">
        <v>104</v>
      </c>
      <c r="D510" s="44" t="s">
        <v>472</v>
      </c>
      <c r="E510" s="44" t="s">
        <v>1582</v>
      </c>
      <c r="F510" s="50">
        <v>20</v>
      </c>
    </row>
    <row r="511" spans="1:6" ht="20.100000000000001" customHeight="1">
      <c r="A511" s="44">
        <v>508</v>
      </c>
      <c r="B511" s="44">
        <v>2015</v>
      </c>
      <c r="C511" s="41" t="s">
        <v>104</v>
      </c>
      <c r="D511" s="44" t="s">
        <v>468</v>
      </c>
      <c r="E511" s="44" t="s">
        <v>1578</v>
      </c>
      <c r="F511" s="50">
        <v>5</v>
      </c>
    </row>
    <row r="512" spans="1:6" ht="20.100000000000001" customHeight="1">
      <c r="A512" s="44">
        <v>509</v>
      </c>
      <c r="B512" s="44">
        <v>2015</v>
      </c>
      <c r="C512" s="41" t="s">
        <v>104</v>
      </c>
      <c r="D512" s="44" t="s">
        <v>470</v>
      </c>
      <c r="E512" s="44" t="s">
        <v>1580</v>
      </c>
      <c r="F512" s="50">
        <v>3</v>
      </c>
    </row>
    <row r="513" spans="1:6" ht="20.100000000000001" customHeight="1">
      <c r="A513" s="44">
        <v>510</v>
      </c>
      <c r="B513" s="45">
        <v>2015</v>
      </c>
      <c r="C513" s="44" t="s">
        <v>104</v>
      </c>
      <c r="D513" s="45" t="s">
        <v>2180</v>
      </c>
      <c r="E513" s="43" t="s">
        <v>2712</v>
      </c>
      <c r="F513" s="50">
        <v>10</v>
      </c>
    </row>
    <row r="514" spans="1:6" ht="20.100000000000001" customHeight="1">
      <c r="A514" s="44">
        <v>511</v>
      </c>
      <c r="B514" s="44">
        <v>2015</v>
      </c>
      <c r="C514" s="41" t="s">
        <v>31</v>
      </c>
      <c r="D514" s="44" t="s">
        <v>475</v>
      </c>
      <c r="E514" s="44" t="s">
        <v>1694</v>
      </c>
      <c r="F514" s="50">
        <v>15</v>
      </c>
    </row>
    <row r="515" spans="1:6" ht="20.100000000000001" customHeight="1">
      <c r="A515" s="44">
        <v>512</v>
      </c>
      <c r="B515" s="44">
        <v>2015</v>
      </c>
      <c r="C515" s="41" t="s">
        <v>31</v>
      </c>
      <c r="D515" s="44" t="s">
        <v>474</v>
      </c>
      <c r="E515" s="44" t="s">
        <v>1693</v>
      </c>
      <c r="F515" s="50">
        <v>10.8</v>
      </c>
    </row>
    <row r="516" spans="1:6" ht="20.100000000000001" customHeight="1">
      <c r="A516" s="44">
        <v>513</v>
      </c>
      <c r="B516" s="44">
        <v>2015</v>
      </c>
      <c r="C516" s="41" t="s">
        <v>31</v>
      </c>
      <c r="D516" s="44" t="s">
        <v>1697</v>
      </c>
      <c r="E516" s="45" t="s">
        <v>2621</v>
      </c>
      <c r="F516" s="50">
        <v>16.12</v>
      </c>
    </row>
    <row r="517" spans="1:6" ht="20.100000000000001" customHeight="1">
      <c r="A517" s="44">
        <v>514</v>
      </c>
      <c r="B517" s="44">
        <v>2015</v>
      </c>
      <c r="C517" s="41" t="s">
        <v>31</v>
      </c>
      <c r="D517" s="44" t="s">
        <v>476</v>
      </c>
      <c r="E517" s="44" t="s">
        <v>1695</v>
      </c>
      <c r="F517" s="50">
        <v>15</v>
      </c>
    </row>
    <row r="518" spans="1:6" ht="20.100000000000001" customHeight="1">
      <c r="A518" s="44">
        <v>515</v>
      </c>
      <c r="B518" s="44">
        <v>2015</v>
      </c>
      <c r="C518" s="41" t="s">
        <v>31</v>
      </c>
      <c r="D518" s="44" t="s">
        <v>477</v>
      </c>
      <c r="E518" s="44" t="s">
        <v>1696</v>
      </c>
      <c r="F518" s="50">
        <v>50</v>
      </c>
    </row>
    <row r="519" spans="1:6" ht="20.100000000000001" customHeight="1">
      <c r="A519" s="44">
        <v>516</v>
      </c>
      <c r="B519" s="44">
        <v>2015</v>
      </c>
      <c r="C519" s="41" t="s">
        <v>33</v>
      </c>
      <c r="D519" s="44" t="s">
        <v>481</v>
      </c>
      <c r="E519" s="44" t="s">
        <v>1587</v>
      </c>
      <c r="F519" s="50">
        <v>6</v>
      </c>
    </row>
    <row r="520" spans="1:6" ht="20.100000000000001" customHeight="1">
      <c r="A520" s="44">
        <v>517</v>
      </c>
      <c r="B520" s="44">
        <v>2015</v>
      </c>
      <c r="C520" s="41" t="s">
        <v>33</v>
      </c>
      <c r="D520" s="44" t="s">
        <v>478</v>
      </c>
      <c r="E520" s="44" t="s">
        <v>1584</v>
      </c>
      <c r="F520" s="50">
        <v>38.5</v>
      </c>
    </row>
    <row r="521" spans="1:6" ht="20.100000000000001" customHeight="1">
      <c r="A521" s="44">
        <v>518</v>
      </c>
      <c r="B521" s="44">
        <v>2015</v>
      </c>
      <c r="C521" s="41" t="s">
        <v>33</v>
      </c>
      <c r="D521" s="44" t="s">
        <v>482</v>
      </c>
      <c r="E521" s="44" t="s">
        <v>1586</v>
      </c>
      <c r="F521" s="50">
        <v>20</v>
      </c>
    </row>
    <row r="522" spans="1:6" ht="20.100000000000001" customHeight="1">
      <c r="A522" s="44">
        <v>519</v>
      </c>
      <c r="B522" s="44">
        <v>2015</v>
      </c>
      <c r="C522" s="41" t="s">
        <v>33</v>
      </c>
      <c r="D522" s="44" t="s">
        <v>480</v>
      </c>
      <c r="E522" s="44" t="s">
        <v>1586</v>
      </c>
      <c r="F522" s="50">
        <v>50</v>
      </c>
    </row>
    <row r="523" spans="1:6" ht="20.100000000000001" customHeight="1">
      <c r="A523" s="44">
        <v>520</v>
      </c>
      <c r="B523" s="44">
        <v>2015</v>
      </c>
      <c r="C523" s="41" t="s">
        <v>33</v>
      </c>
      <c r="D523" s="44" t="s">
        <v>479</v>
      </c>
      <c r="E523" s="44" t="s">
        <v>1585</v>
      </c>
      <c r="F523" s="50">
        <v>15</v>
      </c>
    </row>
    <row r="524" spans="1:6" ht="20.100000000000001" customHeight="1">
      <c r="A524" s="44">
        <v>521</v>
      </c>
      <c r="B524" s="44">
        <v>2015</v>
      </c>
      <c r="C524" s="41" t="s">
        <v>6</v>
      </c>
      <c r="D524" s="44" t="s">
        <v>483</v>
      </c>
      <c r="E524" s="44" t="s">
        <v>1361</v>
      </c>
      <c r="F524" s="50">
        <v>60.69</v>
      </c>
    </row>
    <row r="525" spans="1:6" ht="20.100000000000001" customHeight="1">
      <c r="A525" s="44">
        <v>522</v>
      </c>
      <c r="B525" s="44">
        <v>2015</v>
      </c>
      <c r="C525" s="41" t="s">
        <v>56</v>
      </c>
      <c r="D525" s="44" t="s">
        <v>485</v>
      </c>
      <c r="E525" s="44" t="s">
        <v>1744</v>
      </c>
      <c r="F525" s="50">
        <v>24.38</v>
      </c>
    </row>
    <row r="526" spans="1:6" ht="20.100000000000001" customHeight="1">
      <c r="A526" s="44">
        <v>523</v>
      </c>
      <c r="B526" s="44">
        <v>2015</v>
      </c>
      <c r="C526" s="41" t="s">
        <v>56</v>
      </c>
      <c r="D526" s="44" t="s">
        <v>484</v>
      </c>
      <c r="E526" s="44" t="s">
        <v>1743</v>
      </c>
      <c r="F526" s="50">
        <v>35</v>
      </c>
    </row>
    <row r="527" spans="1:6" ht="20.100000000000001" customHeight="1">
      <c r="A527" s="44">
        <v>524</v>
      </c>
      <c r="B527" s="44">
        <v>2015</v>
      </c>
      <c r="C527" s="41" t="s">
        <v>56</v>
      </c>
      <c r="D527" s="44" t="s">
        <v>489</v>
      </c>
      <c r="E527" s="44" t="s">
        <v>1748</v>
      </c>
      <c r="F527" s="50">
        <v>30</v>
      </c>
    </row>
    <row r="528" spans="1:6" ht="20.100000000000001" customHeight="1">
      <c r="A528" s="44">
        <v>525</v>
      </c>
      <c r="B528" s="44">
        <v>2015</v>
      </c>
      <c r="C528" s="41" t="s">
        <v>56</v>
      </c>
      <c r="D528" s="44" t="s">
        <v>487</v>
      </c>
      <c r="E528" s="44" t="s">
        <v>1746</v>
      </c>
      <c r="F528" s="50">
        <v>1.5</v>
      </c>
    </row>
    <row r="529" spans="1:6" ht="20.100000000000001" customHeight="1">
      <c r="A529" s="44">
        <v>526</v>
      </c>
      <c r="B529" s="44">
        <v>2015</v>
      </c>
      <c r="C529" s="41" t="s">
        <v>56</v>
      </c>
      <c r="D529" s="44" t="s">
        <v>488</v>
      </c>
      <c r="E529" s="44" t="s">
        <v>1747</v>
      </c>
      <c r="F529" s="50">
        <v>3</v>
      </c>
    </row>
    <row r="530" spans="1:6" ht="20.100000000000001" customHeight="1">
      <c r="A530" s="44">
        <v>527</v>
      </c>
      <c r="B530" s="44">
        <v>2015</v>
      </c>
      <c r="C530" s="41" t="s">
        <v>56</v>
      </c>
      <c r="D530" s="44" t="s">
        <v>486</v>
      </c>
      <c r="E530" s="45" t="s">
        <v>1745</v>
      </c>
      <c r="F530" s="50">
        <v>3</v>
      </c>
    </row>
    <row r="531" spans="1:6" ht="20.100000000000001" customHeight="1">
      <c r="A531" s="44">
        <v>528</v>
      </c>
      <c r="B531" s="44">
        <v>2015</v>
      </c>
      <c r="C531" s="41" t="s">
        <v>57</v>
      </c>
      <c r="D531" s="44" t="s">
        <v>490</v>
      </c>
      <c r="E531" s="44" t="s">
        <v>1109</v>
      </c>
      <c r="F531" s="50">
        <v>3</v>
      </c>
    </row>
    <row r="532" spans="1:6" ht="20.100000000000001" customHeight="1">
      <c r="A532" s="44">
        <v>529</v>
      </c>
      <c r="B532" s="44">
        <v>2015</v>
      </c>
      <c r="C532" s="41" t="s">
        <v>57</v>
      </c>
      <c r="D532" s="44" t="s">
        <v>491</v>
      </c>
      <c r="E532" s="44" t="s">
        <v>1138</v>
      </c>
      <c r="F532" s="50">
        <v>5</v>
      </c>
    </row>
    <row r="533" spans="1:6" ht="20.100000000000001" customHeight="1">
      <c r="A533" s="44">
        <v>530</v>
      </c>
      <c r="B533" s="44">
        <v>2015</v>
      </c>
      <c r="C533" s="41" t="s">
        <v>57</v>
      </c>
      <c r="D533" s="44" t="s">
        <v>492</v>
      </c>
      <c r="E533" s="44" t="s">
        <v>1139</v>
      </c>
      <c r="F533" s="50">
        <v>8</v>
      </c>
    </row>
    <row r="534" spans="1:6" ht="20.100000000000001" customHeight="1">
      <c r="A534" s="44">
        <v>531</v>
      </c>
      <c r="B534" s="44">
        <v>2015</v>
      </c>
      <c r="C534" s="41" t="s">
        <v>1140</v>
      </c>
      <c r="D534" s="44" t="s">
        <v>493</v>
      </c>
      <c r="E534" s="44" t="s">
        <v>1141</v>
      </c>
      <c r="F534" s="50">
        <v>5</v>
      </c>
    </row>
    <row r="535" spans="1:6" ht="20.100000000000001" customHeight="1">
      <c r="A535" s="44">
        <v>532</v>
      </c>
      <c r="B535" s="44">
        <v>2015</v>
      </c>
      <c r="C535" s="41" t="s">
        <v>57</v>
      </c>
      <c r="D535" s="44" t="s">
        <v>494</v>
      </c>
      <c r="E535" s="44" t="s">
        <v>1142</v>
      </c>
      <c r="F535" s="50">
        <v>10</v>
      </c>
    </row>
    <row r="536" spans="1:6" ht="20.100000000000001" customHeight="1">
      <c r="A536" s="44">
        <v>533</v>
      </c>
      <c r="B536" s="44">
        <v>2015</v>
      </c>
      <c r="C536" s="41" t="s">
        <v>57</v>
      </c>
      <c r="D536" s="44" t="s">
        <v>495</v>
      </c>
      <c r="E536" s="44" t="s">
        <v>1143</v>
      </c>
      <c r="F536" s="50">
        <v>10</v>
      </c>
    </row>
    <row r="537" spans="1:6" ht="20.100000000000001" customHeight="1">
      <c r="A537" s="44">
        <v>534</v>
      </c>
      <c r="B537" s="44">
        <v>2015</v>
      </c>
      <c r="C537" s="41" t="s">
        <v>57</v>
      </c>
      <c r="D537" s="44" t="s">
        <v>496</v>
      </c>
      <c r="E537" s="44" t="s">
        <v>1144</v>
      </c>
      <c r="F537" s="50">
        <v>3</v>
      </c>
    </row>
    <row r="538" spans="1:6" ht="20.100000000000001" customHeight="1">
      <c r="A538" s="44">
        <v>535</v>
      </c>
      <c r="B538" s="44">
        <v>2015</v>
      </c>
      <c r="C538" s="41" t="s">
        <v>1140</v>
      </c>
      <c r="D538" s="44" t="s">
        <v>1148</v>
      </c>
      <c r="E538" s="44" t="s">
        <v>1149</v>
      </c>
      <c r="F538" s="50">
        <v>3</v>
      </c>
    </row>
    <row r="539" spans="1:6" ht="20.100000000000001" customHeight="1">
      <c r="A539" s="44">
        <v>536</v>
      </c>
      <c r="B539" s="44">
        <v>2015</v>
      </c>
      <c r="C539" s="44" t="s">
        <v>2377</v>
      </c>
      <c r="D539" s="44" t="s">
        <v>570</v>
      </c>
      <c r="E539" s="44" t="s">
        <v>1374</v>
      </c>
      <c r="F539" s="50">
        <v>95.6</v>
      </c>
    </row>
    <row r="540" spans="1:6" ht="20.100000000000001" customHeight="1">
      <c r="A540" s="44">
        <v>537</v>
      </c>
      <c r="B540" s="45">
        <v>2016</v>
      </c>
      <c r="C540" s="47" t="s">
        <v>497</v>
      </c>
      <c r="D540" s="45" t="s">
        <v>1214</v>
      </c>
      <c r="E540" s="45" t="s">
        <v>1213</v>
      </c>
      <c r="F540" s="50">
        <v>10</v>
      </c>
    </row>
    <row r="541" spans="1:6" ht="20.100000000000001" customHeight="1">
      <c r="A541" s="44">
        <v>538</v>
      </c>
      <c r="B541" s="45">
        <v>2016</v>
      </c>
      <c r="C541" s="47" t="s">
        <v>1724</v>
      </c>
      <c r="D541" s="45" t="s">
        <v>498</v>
      </c>
      <c r="E541" s="45" t="s">
        <v>1725</v>
      </c>
      <c r="F541" s="50">
        <v>54</v>
      </c>
    </row>
    <row r="542" spans="1:6" ht="20.100000000000001" customHeight="1">
      <c r="A542" s="44">
        <v>539</v>
      </c>
      <c r="B542" s="44">
        <v>2016</v>
      </c>
      <c r="C542" s="41" t="s">
        <v>2477</v>
      </c>
      <c r="D542" s="44" t="s">
        <v>501</v>
      </c>
      <c r="E542" s="44" t="s">
        <v>1245</v>
      </c>
      <c r="F542" s="50">
        <v>20</v>
      </c>
    </row>
    <row r="543" spans="1:6" ht="20.100000000000001" customHeight="1">
      <c r="A543" s="44">
        <v>540</v>
      </c>
      <c r="B543" s="45">
        <v>2016</v>
      </c>
      <c r="C543" s="47" t="s">
        <v>499</v>
      </c>
      <c r="D543" s="45" t="s">
        <v>500</v>
      </c>
      <c r="E543" s="45" t="s">
        <v>1588</v>
      </c>
      <c r="F543" s="50">
        <v>14</v>
      </c>
    </row>
    <row r="544" spans="1:6" ht="20.100000000000001" customHeight="1">
      <c r="A544" s="44">
        <v>541</v>
      </c>
      <c r="B544" s="45">
        <v>2016</v>
      </c>
      <c r="C544" s="47" t="s">
        <v>1002</v>
      </c>
      <c r="D544" s="45" t="s">
        <v>503</v>
      </c>
      <c r="E544" s="45" t="s">
        <v>1000</v>
      </c>
      <c r="F544" s="50">
        <v>4</v>
      </c>
    </row>
    <row r="545" spans="1:6" ht="20.100000000000001" customHeight="1">
      <c r="A545" s="44">
        <v>542</v>
      </c>
      <c r="B545" s="45">
        <v>2016</v>
      </c>
      <c r="C545" s="47" t="s">
        <v>1002</v>
      </c>
      <c r="D545" s="45" t="s">
        <v>504</v>
      </c>
      <c r="E545" s="45" t="s">
        <v>998</v>
      </c>
      <c r="F545" s="50">
        <v>7</v>
      </c>
    </row>
    <row r="546" spans="1:6" ht="20.100000000000001" customHeight="1">
      <c r="A546" s="44">
        <v>543</v>
      </c>
      <c r="B546" s="45">
        <v>2016</v>
      </c>
      <c r="C546" s="47" t="s">
        <v>278</v>
      </c>
      <c r="D546" s="45" t="s">
        <v>506</v>
      </c>
      <c r="E546" s="45" t="s">
        <v>1363</v>
      </c>
      <c r="F546" s="50">
        <v>10</v>
      </c>
    </row>
    <row r="547" spans="1:6" ht="20.100000000000001" customHeight="1">
      <c r="A547" s="44">
        <v>544</v>
      </c>
      <c r="B547" s="45">
        <v>2016</v>
      </c>
      <c r="C547" s="47" t="s">
        <v>278</v>
      </c>
      <c r="D547" s="45" t="s">
        <v>507</v>
      </c>
      <c r="E547" s="45" t="s">
        <v>1364</v>
      </c>
      <c r="F547" s="50">
        <v>20</v>
      </c>
    </row>
    <row r="548" spans="1:6" ht="20.100000000000001" customHeight="1">
      <c r="A548" s="44">
        <v>545</v>
      </c>
      <c r="B548" s="44">
        <v>2016</v>
      </c>
      <c r="C548" s="41" t="s">
        <v>278</v>
      </c>
      <c r="D548" s="44" t="s">
        <v>505</v>
      </c>
      <c r="E548" s="44" t="s">
        <v>1362</v>
      </c>
      <c r="F548" s="50">
        <v>10</v>
      </c>
    </row>
    <row r="549" spans="1:6" ht="20.100000000000001" customHeight="1">
      <c r="A549" s="44">
        <v>546</v>
      </c>
      <c r="B549" s="44">
        <v>2016</v>
      </c>
      <c r="C549" s="41" t="s">
        <v>1282</v>
      </c>
      <c r="D549" s="44" t="s">
        <v>2555</v>
      </c>
      <c r="E549" s="44" t="s">
        <v>1365</v>
      </c>
      <c r="F549" s="50">
        <v>10</v>
      </c>
    </row>
    <row r="550" spans="1:6" ht="20.100000000000001" customHeight="1">
      <c r="A550" s="44">
        <v>547</v>
      </c>
      <c r="B550" s="44">
        <v>2016</v>
      </c>
      <c r="C550" s="41" t="s">
        <v>122</v>
      </c>
      <c r="D550" s="44" t="s">
        <v>1960</v>
      </c>
      <c r="E550" s="44" t="s">
        <v>1920</v>
      </c>
      <c r="F550" s="50">
        <v>30</v>
      </c>
    </row>
    <row r="551" spans="1:6" ht="20.100000000000001" customHeight="1">
      <c r="A551" s="44">
        <v>548</v>
      </c>
      <c r="B551" s="45">
        <v>2016</v>
      </c>
      <c r="C551" s="47" t="s">
        <v>2589</v>
      </c>
      <c r="D551" s="45" t="s">
        <v>510</v>
      </c>
      <c r="E551" s="45" t="s">
        <v>1083</v>
      </c>
      <c r="F551" s="50">
        <v>42</v>
      </c>
    </row>
    <row r="552" spans="1:6" ht="20.100000000000001" customHeight="1">
      <c r="A552" s="44">
        <v>549</v>
      </c>
      <c r="B552" s="45">
        <v>2016</v>
      </c>
      <c r="C552" s="47" t="s">
        <v>2589</v>
      </c>
      <c r="D552" s="45" t="s">
        <v>511</v>
      </c>
      <c r="E552" s="45" t="s">
        <v>1077</v>
      </c>
      <c r="F552" s="50">
        <v>6</v>
      </c>
    </row>
    <row r="553" spans="1:6" ht="20.100000000000001" customHeight="1">
      <c r="A553" s="44">
        <v>550</v>
      </c>
      <c r="B553" s="45">
        <v>2016</v>
      </c>
      <c r="C553" s="47" t="s">
        <v>2589</v>
      </c>
      <c r="D553" s="45" t="s">
        <v>509</v>
      </c>
      <c r="E553" s="45" t="s">
        <v>1087</v>
      </c>
      <c r="F553" s="50">
        <v>22</v>
      </c>
    </row>
    <row r="554" spans="1:6" ht="20.100000000000001" customHeight="1">
      <c r="A554" s="44">
        <v>551</v>
      </c>
      <c r="B554" s="45">
        <v>2016</v>
      </c>
      <c r="C554" s="47" t="s">
        <v>2589</v>
      </c>
      <c r="D554" s="45" t="s">
        <v>512</v>
      </c>
      <c r="E554" s="45" t="s">
        <v>1088</v>
      </c>
      <c r="F554" s="50">
        <v>30</v>
      </c>
    </row>
    <row r="555" spans="1:6" ht="20.100000000000001" customHeight="1">
      <c r="A555" s="44">
        <v>552</v>
      </c>
      <c r="B555" s="45">
        <v>2016</v>
      </c>
      <c r="C555" s="47" t="s">
        <v>2589</v>
      </c>
      <c r="D555" s="45" t="s">
        <v>508</v>
      </c>
      <c r="E555" s="45" t="s">
        <v>1076</v>
      </c>
      <c r="F555" s="50">
        <v>3</v>
      </c>
    </row>
    <row r="556" spans="1:6" ht="20.100000000000001" customHeight="1">
      <c r="A556" s="44">
        <v>553</v>
      </c>
      <c r="B556" s="45">
        <v>2016</v>
      </c>
      <c r="C556" s="47" t="s">
        <v>513</v>
      </c>
      <c r="D556" s="45" t="s">
        <v>514</v>
      </c>
      <c r="E556" s="45" t="s">
        <v>1589</v>
      </c>
      <c r="F556" s="50">
        <v>71.5</v>
      </c>
    </row>
    <row r="557" spans="1:6" ht="20.100000000000001" customHeight="1">
      <c r="A557" s="44">
        <v>554</v>
      </c>
      <c r="B557" s="44">
        <v>2016</v>
      </c>
      <c r="C557" s="41" t="s">
        <v>930</v>
      </c>
      <c r="D557" s="44" t="s">
        <v>931</v>
      </c>
      <c r="E557" s="44" t="s">
        <v>1964</v>
      </c>
      <c r="F557" s="50">
        <v>50</v>
      </c>
    </row>
    <row r="558" spans="1:6" ht="20.100000000000001" customHeight="1">
      <c r="A558" s="44">
        <v>555</v>
      </c>
      <c r="B558" s="45">
        <v>2016</v>
      </c>
      <c r="C558" s="47" t="s">
        <v>12</v>
      </c>
      <c r="D558" s="45" t="s">
        <v>515</v>
      </c>
      <c r="E558" s="45" t="s">
        <v>1872</v>
      </c>
      <c r="F558" s="50">
        <v>19.84</v>
      </c>
    </row>
    <row r="559" spans="1:6" ht="20.100000000000001" customHeight="1">
      <c r="A559" s="44">
        <v>556</v>
      </c>
      <c r="B559" s="45">
        <v>2016</v>
      </c>
      <c r="C559" s="47" t="s">
        <v>12</v>
      </c>
      <c r="D559" s="45" t="s">
        <v>516</v>
      </c>
      <c r="E559" s="45" t="s">
        <v>1873</v>
      </c>
      <c r="F559" s="50">
        <v>3</v>
      </c>
    </row>
    <row r="560" spans="1:6" ht="20.100000000000001" customHeight="1">
      <c r="A560" s="44">
        <v>557</v>
      </c>
      <c r="B560" s="45">
        <v>2016</v>
      </c>
      <c r="C560" s="47" t="s">
        <v>1233</v>
      </c>
      <c r="D560" s="45" t="s">
        <v>517</v>
      </c>
      <c r="E560" s="45" t="s">
        <v>1366</v>
      </c>
      <c r="F560" s="50">
        <v>40</v>
      </c>
    </row>
    <row r="561" spans="1:6" ht="20.100000000000001" customHeight="1">
      <c r="A561" s="44">
        <v>558</v>
      </c>
      <c r="B561" s="45">
        <v>2016</v>
      </c>
      <c r="C561" s="47" t="s">
        <v>518</v>
      </c>
      <c r="D561" s="45" t="s">
        <v>518</v>
      </c>
      <c r="E561" s="45" t="s">
        <v>1069</v>
      </c>
      <c r="F561" s="50">
        <v>41.48</v>
      </c>
    </row>
    <row r="562" spans="1:6" ht="20.100000000000001" customHeight="1">
      <c r="A562" s="44">
        <v>559</v>
      </c>
      <c r="B562" s="45">
        <v>2016</v>
      </c>
      <c r="C562" s="47" t="s">
        <v>76</v>
      </c>
      <c r="D562" s="45" t="s">
        <v>519</v>
      </c>
      <c r="E562" s="45" t="s">
        <v>995</v>
      </c>
      <c r="F562" s="50">
        <v>32.4</v>
      </c>
    </row>
    <row r="563" spans="1:6" ht="20.100000000000001" customHeight="1">
      <c r="A563" s="44">
        <v>560</v>
      </c>
      <c r="B563" s="44">
        <v>2016</v>
      </c>
      <c r="C563" s="41" t="s">
        <v>147</v>
      </c>
      <c r="D563" s="44" t="s">
        <v>520</v>
      </c>
      <c r="E563" s="44" t="s">
        <v>1010</v>
      </c>
      <c r="F563" s="50">
        <v>5</v>
      </c>
    </row>
    <row r="564" spans="1:6" ht="20.100000000000001" customHeight="1">
      <c r="A564" s="44">
        <v>561</v>
      </c>
      <c r="B564" s="45">
        <v>2016</v>
      </c>
      <c r="C564" s="47" t="s">
        <v>8</v>
      </c>
      <c r="D564" s="45" t="s">
        <v>522</v>
      </c>
      <c r="E564" s="45" t="s">
        <v>1368</v>
      </c>
      <c r="F564" s="50">
        <v>15.4</v>
      </c>
    </row>
    <row r="565" spans="1:6" ht="20.100000000000001" customHeight="1">
      <c r="A565" s="44">
        <v>562</v>
      </c>
      <c r="B565" s="45">
        <v>2016</v>
      </c>
      <c r="C565" s="47" t="s">
        <v>8</v>
      </c>
      <c r="D565" s="45" t="s">
        <v>523</v>
      </c>
      <c r="E565" s="45" t="s">
        <v>1369</v>
      </c>
      <c r="F565" s="50">
        <v>15.4</v>
      </c>
    </row>
    <row r="566" spans="1:6" ht="20.100000000000001" customHeight="1">
      <c r="A566" s="44">
        <v>563</v>
      </c>
      <c r="B566" s="45">
        <v>2016</v>
      </c>
      <c r="C566" s="47" t="s">
        <v>8</v>
      </c>
      <c r="D566" s="45" t="s">
        <v>521</v>
      </c>
      <c r="E566" s="45" t="s">
        <v>1367</v>
      </c>
      <c r="F566" s="50">
        <v>46.2</v>
      </c>
    </row>
    <row r="567" spans="1:6" ht="20.100000000000001" customHeight="1">
      <c r="A567" s="44">
        <v>564</v>
      </c>
      <c r="B567" s="44">
        <v>2016</v>
      </c>
      <c r="C567" s="41" t="s">
        <v>86</v>
      </c>
      <c r="D567" s="44" t="s">
        <v>524</v>
      </c>
      <c r="E567" s="44" t="s">
        <v>1922</v>
      </c>
      <c r="F567" s="50">
        <v>27.84</v>
      </c>
    </row>
    <row r="568" spans="1:6" ht="20.100000000000001" customHeight="1">
      <c r="A568" s="44">
        <v>565</v>
      </c>
      <c r="B568" s="44">
        <v>2016</v>
      </c>
      <c r="C568" s="41" t="s">
        <v>86</v>
      </c>
      <c r="D568" s="44" t="s">
        <v>525</v>
      </c>
      <c r="E568" s="44" t="s">
        <v>1923</v>
      </c>
      <c r="F568" s="50">
        <v>15</v>
      </c>
    </row>
    <row r="569" spans="1:6" ht="20.100000000000001" customHeight="1">
      <c r="A569" s="44">
        <v>566</v>
      </c>
      <c r="B569" s="45">
        <v>2016</v>
      </c>
      <c r="C569" s="47" t="s">
        <v>43</v>
      </c>
      <c r="D569" s="45" t="s">
        <v>526</v>
      </c>
      <c r="E569" s="45" t="s">
        <v>1157</v>
      </c>
      <c r="F569" s="50">
        <v>9</v>
      </c>
    </row>
    <row r="570" spans="1:6" ht="20.100000000000001" customHeight="1">
      <c r="A570" s="44">
        <v>567</v>
      </c>
      <c r="B570" s="45">
        <v>2016</v>
      </c>
      <c r="C570" s="47" t="s">
        <v>43</v>
      </c>
      <c r="D570" s="45" t="s">
        <v>528</v>
      </c>
      <c r="E570" s="45" t="s">
        <v>1168</v>
      </c>
      <c r="F570" s="50">
        <v>45</v>
      </c>
    </row>
    <row r="571" spans="1:6" ht="20.100000000000001" customHeight="1">
      <c r="A571" s="44">
        <v>568</v>
      </c>
      <c r="B571" s="45">
        <v>2016</v>
      </c>
      <c r="C571" s="47" t="s">
        <v>43</v>
      </c>
      <c r="D571" s="45" t="s">
        <v>529</v>
      </c>
      <c r="E571" s="45" t="s">
        <v>1158</v>
      </c>
      <c r="F571" s="50">
        <v>12</v>
      </c>
    </row>
    <row r="572" spans="1:6" ht="20.100000000000001" customHeight="1">
      <c r="A572" s="44">
        <v>569</v>
      </c>
      <c r="B572" s="45">
        <v>2016</v>
      </c>
      <c r="C572" s="47" t="s">
        <v>43</v>
      </c>
      <c r="D572" s="45" t="s">
        <v>530</v>
      </c>
      <c r="E572" s="45" t="s">
        <v>1159</v>
      </c>
      <c r="F572" s="50">
        <v>3</v>
      </c>
    </row>
    <row r="573" spans="1:6" ht="20.100000000000001" customHeight="1">
      <c r="A573" s="44">
        <v>570</v>
      </c>
      <c r="B573" s="45">
        <v>2016</v>
      </c>
      <c r="C573" s="47" t="s">
        <v>43</v>
      </c>
      <c r="D573" s="45" t="s">
        <v>527</v>
      </c>
      <c r="E573" s="45" t="s">
        <v>1167</v>
      </c>
      <c r="F573" s="50">
        <v>26</v>
      </c>
    </row>
    <row r="574" spans="1:6" ht="20.100000000000001" customHeight="1">
      <c r="A574" s="44">
        <v>571</v>
      </c>
      <c r="B574" s="44">
        <v>2016</v>
      </c>
      <c r="C574" s="41" t="s">
        <v>26</v>
      </c>
      <c r="D574" s="44" t="s">
        <v>540</v>
      </c>
      <c r="E574" s="44" t="s">
        <v>1933</v>
      </c>
      <c r="F574" s="50">
        <v>19.2</v>
      </c>
    </row>
    <row r="575" spans="1:6" ht="20.100000000000001" customHeight="1">
      <c r="A575" s="44">
        <v>572</v>
      </c>
      <c r="B575" s="44">
        <v>2016</v>
      </c>
      <c r="C575" s="41" t="s">
        <v>26</v>
      </c>
      <c r="D575" s="44" t="s">
        <v>532</v>
      </c>
      <c r="E575" s="44" t="s">
        <v>1925</v>
      </c>
      <c r="F575" s="50">
        <v>3.2</v>
      </c>
    </row>
    <row r="576" spans="1:6" ht="20.100000000000001" customHeight="1">
      <c r="A576" s="44">
        <v>573</v>
      </c>
      <c r="B576" s="44">
        <v>2016</v>
      </c>
      <c r="C576" s="41" t="s">
        <v>26</v>
      </c>
      <c r="D576" s="44" t="s">
        <v>533</v>
      </c>
      <c r="E576" s="44" t="s">
        <v>1926</v>
      </c>
      <c r="F576" s="50">
        <v>2.8</v>
      </c>
    </row>
    <row r="577" spans="1:6" ht="20.100000000000001" customHeight="1">
      <c r="A577" s="44">
        <v>574</v>
      </c>
      <c r="B577" s="44">
        <v>2016</v>
      </c>
      <c r="C577" s="41" t="s">
        <v>26</v>
      </c>
      <c r="D577" s="44" t="s">
        <v>534</v>
      </c>
      <c r="E577" s="44" t="s">
        <v>1927</v>
      </c>
      <c r="F577" s="50">
        <v>18.899999999999999</v>
      </c>
    </row>
    <row r="578" spans="1:6" ht="20.100000000000001" customHeight="1">
      <c r="A578" s="44">
        <v>575</v>
      </c>
      <c r="B578" s="44">
        <v>2016</v>
      </c>
      <c r="C578" s="41" t="s">
        <v>26</v>
      </c>
      <c r="D578" s="44" t="s">
        <v>535</v>
      </c>
      <c r="E578" s="44" t="s">
        <v>1928</v>
      </c>
      <c r="F578" s="50">
        <v>2.8</v>
      </c>
    </row>
    <row r="579" spans="1:6" ht="20.100000000000001" customHeight="1">
      <c r="A579" s="44">
        <v>576</v>
      </c>
      <c r="B579" s="44">
        <v>2016</v>
      </c>
      <c r="C579" s="41" t="s">
        <v>26</v>
      </c>
      <c r="D579" s="44" t="s">
        <v>536</v>
      </c>
      <c r="E579" s="44" t="s">
        <v>1929</v>
      </c>
      <c r="F579" s="50">
        <v>3.15</v>
      </c>
    </row>
    <row r="580" spans="1:6" ht="20.100000000000001" customHeight="1">
      <c r="A580" s="44">
        <v>577</v>
      </c>
      <c r="B580" s="44">
        <v>2016</v>
      </c>
      <c r="C580" s="41" t="s">
        <v>26</v>
      </c>
      <c r="D580" s="44" t="s">
        <v>537</v>
      </c>
      <c r="E580" s="44" t="s">
        <v>1930</v>
      </c>
      <c r="F580" s="50">
        <v>5</v>
      </c>
    </row>
    <row r="581" spans="1:6" ht="20.100000000000001" customHeight="1">
      <c r="A581" s="44">
        <v>578</v>
      </c>
      <c r="B581" s="44">
        <v>2016</v>
      </c>
      <c r="C581" s="41" t="s">
        <v>26</v>
      </c>
      <c r="D581" s="44" t="s">
        <v>538</v>
      </c>
      <c r="E581" s="44" t="s">
        <v>1931</v>
      </c>
      <c r="F581" s="50">
        <v>7.58</v>
      </c>
    </row>
    <row r="582" spans="1:6" ht="20.100000000000001" customHeight="1">
      <c r="A582" s="44">
        <v>579</v>
      </c>
      <c r="B582" s="44">
        <v>2016</v>
      </c>
      <c r="C582" s="41" t="s">
        <v>26</v>
      </c>
      <c r="D582" s="44" t="s">
        <v>539</v>
      </c>
      <c r="E582" s="44" t="s">
        <v>1932</v>
      </c>
      <c r="F582" s="50">
        <v>10.1</v>
      </c>
    </row>
    <row r="583" spans="1:6" ht="20.100000000000001" customHeight="1">
      <c r="A583" s="44">
        <v>580</v>
      </c>
      <c r="B583" s="44">
        <v>2016</v>
      </c>
      <c r="C583" s="41" t="s">
        <v>26</v>
      </c>
      <c r="D583" s="44" t="s">
        <v>531</v>
      </c>
      <c r="E583" s="44" t="s">
        <v>1924</v>
      </c>
      <c r="F583" s="64">
        <v>15.4</v>
      </c>
    </row>
    <row r="584" spans="1:6" ht="20.100000000000001" customHeight="1">
      <c r="A584" s="44">
        <v>581</v>
      </c>
      <c r="B584" s="44">
        <v>2016</v>
      </c>
      <c r="C584" s="41" t="s">
        <v>1491</v>
      </c>
      <c r="D584" s="44" t="s">
        <v>546</v>
      </c>
      <c r="E584" s="44" t="s">
        <v>1595</v>
      </c>
      <c r="F584" s="50">
        <v>5</v>
      </c>
    </row>
    <row r="585" spans="1:6" ht="20.100000000000001" customHeight="1">
      <c r="A585" s="44">
        <v>582</v>
      </c>
      <c r="B585" s="44">
        <v>2016</v>
      </c>
      <c r="C585" s="41" t="s">
        <v>1491</v>
      </c>
      <c r="D585" s="44" t="s">
        <v>545</v>
      </c>
      <c r="E585" s="44" t="s">
        <v>1594</v>
      </c>
      <c r="F585" s="50">
        <v>3</v>
      </c>
    </row>
    <row r="586" spans="1:6" ht="20.100000000000001" customHeight="1">
      <c r="A586" s="44">
        <v>583</v>
      </c>
      <c r="B586" s="44">
        <v>2016</v>
      </c>
      <c r="C586" s="41" t="s">
        <v>70</v>
      </c>
      <c r="D586" s="44" t="s">
        <v>543</v>
      </c>
      <c r="E586" s="44" t="s">
        <v>1592</v>
      </c>
      <c r="F586" s="50">
        <v>3</v>
      </c>
    </row>
    <row r="587" spans="1:6" ht="20.100000000000001" customHeight="1">
      <c r="A587" s="44">
        <v>584</v>
      </c>
      <c r="B587" s="44">
        <v>2016</v>
      </c>
      <c r="C587" s="41" t="s">
        <v>70</v>
      </c>
      <c r="D587" s="44" t="s">
        <v>541</v>
      </c>
      <c r="E587" s="44" t="s">
        <v>1590</v>
      </c>
      <c r="F587" s="50">
        <v>3</v>
      </c>
    </row>
    <row r="588" spans="1:6" ht="20.100000000000001" customHeight="1">
      <c r="A588" s="44">
        <v>585</v>
      </c>
      <c r="B588" s="44">
        <v>2016</v>
      </c>
      <c r="C588" s="41" t="s">
        <v>1491</v>
      </c>
      <c r="D588" s="44" t="s">
        <v>542</v>
      </c>
      <c r="E588" s="44" t="s">
        <v>1591</v>
      </c>
      <c r="F588" s="50">
        <v>16.8</v>
      </c>
    </row>
    <row r="589" spans="1:6" ht="20.100000000000001" customHeight="1">
      <c r="A589" s="44">
        <v>586</v>
      </c>
      <c r="B589" s="44">
        <v>2016</v>
      </c>
      <c r="C589" s="41" t="s">
        <v>1491</v>
      </c>
      <c r="D589" s="44" t="s">
        <v>544</v>
      </c>
      <c r="E589" s="44" t="s">
        <v>1593</v>
      </c>
      <c r="F589" s="50">
        <v>5</v>
      </c>
    </row>
    <row r="590" spans="1:6" ht="20.100000000000001" customHeight="1">
      <c r="A590" s="44">
        <v>587</v>
      </c>
      <c r="B590" s="45">
        <v>2016</v>
      </c>
      <c r="C590" s="47" t="s">
        <v>13</v>
      </c>
      <c r="D590" s="45" t="s">
        <v>964</v>
      </c>
      <c r="E590" s="45" t="s">
        <v>965</v>
      </c>
      <c r="F590" s="50">
        <v>3</v>
      </c>
    </row>
    <row r="591" spans="1:6" ht="20.100000000000001" customHeight="1">
      <c r="A591" s="44">
        <v>588</v>
      </c>
      <c r="B591" s="45">
        <v>2016</v>
      </c>
      <c r="C591" s="47" t="s">
        <v>13</v>
      </c>
      <c r="D591" s="45" t="s">
        <v>547</v>
      </c>
      <c r="E591" s="45" t="s">
        <v>956</v>
      </c>
      <c r="F591" s="50">
        <v>20</v>
      </c>
    </row>
    <row r="592" spans="1:6" ht="20.100000000000001" customHeight="1">
      <c r="A592" s="44">
        <v>589</v>
      </c>
      <c r="B592" s="45">
        <v>2016</v>
      </c>
      <c r="C592" s="47" t="s">
        <v>13</v>
      </c>
      <c r="D592" s="45" t="s">
        <v>548</v>
      </c>
      <c r="E592" s="45" t="s">
        <v>971</v>
      </c>
      <c r="F592" s="50">
        <v>10</v>
      </c>
    </row>
    <row r="593" spans="1:6" ht="20.100000000000001" customHeight="1">
      <c r="A593" s="44">
        <v>590</v>
      </c>
      <c r="B593" s="45">
        <v>2016</v>
      </c>
      <c r="C593" s="47" t="s">
        <v>13</v>
      </c>
      <c r="D593" s="45" t="s">
        <v>947</v>
      </c>
      <c r="E593" s="45" t="s">
        <v>948</v>
      </c>
      <c r="F593" s="50">
        <v>3</v>
      </c>
    </row>
    <row r="594" spans="1:6" ht="20.100000000000001" customHeight="1">
      <c r="A594" s="44">
        <v>591</v>
      </c>
      <c r="B594" s="45">
        <v>2016</v>
      </c>
      <c r="C594" s="47" t="s">
        <v>19</v>
      </c>
      <c r="D594" s="45" t="s">
        <v>550</v>
      </c>
      <c r="E594" s="45" t="s">
        <v>1371</v>
      </c>
      <c r="F594" s="50">
        <v>10</v>
      </c>
    </row>
    <row r="595" spans="1:6" ht="20.100000000000001" customHeight="1">
      <c r="A595" s="44">
        <v>592</v>
      </c>
      <c r="B595" s="45">
        <v>2016</v>
      </c>
      <c r="C595" s="47" t="s">
        <v>19</v>
      </c>
      <c r="D595" s="45" t="s">
        <v>549</v>
      </c>
      <c r="E595" s="45" t="s">
        <v>1370</v>
      </c>
      <c r="F595" s="50">
        <v>5</v>
      </c>
    </row>
    <row r="596" spans="1:6" ht="20.100000000000001" customHeight="1">
      <c r="A596" s="44">
        <v>593</v>
      </c>
      <c r="B596" s="45">
        <v>2016</v>
      </c>
      <c r="C596" s="47" t="s">
        <v>16</v>
      </c>
      <c r="D596" s="45" t="s">
        <v>551</v>
      </c>
      <c r="E596" s="45" t="s">
        <v>1918</v>
      </c>
      <c r="F596" s="50">
        <v>65.959999999999994</v>
      </c>
    </row>
    <row r="597" spans="1:6" ht="20.100000000000001" customHeight="1">
      <c r="A597" s="44">
        <v>594</v>
      </c>
      <c r="B597" s="45">
        <v>2016</v>
      </c>
      <c r="C597" s="47" t="s">
        <v>64</v>
      </c>
      <c r="D597" s="45" t="s">
        <v>552</v>
      </c>
      <c r="E597" s="45" t="s">
        <v>1788</v>
      </c>
      <c r="F597" s="50">
        <v>12.5</v>
      </c>
    </row>
    <row r="598" spans="1:6" ht="20.100000000000001" customHeight="1">
      <c r="A598" s="44">
        <v>595</v>
      </c>
      <c r="B598" s="45">
        <v>2016</v>
      </c>
      <c r="C598" s="47" t="s">
        <v>64</v>
      </c>
      <c r="D598" s="45" t="s">
        <v>555</v>
      </c>
      <c r="E598" s="45" t="s">
        <v>1791</v>
      </c>
      <c r="F598" s="50">
        <v>25.65</v>
      </c>
    </row>
    <row r="599" spans="1:6" ht="20.100000000000001" customHeight="1">
      <c r="A599" s="44">
        <v>596</v>
      </c>
      <c r="B599" s="45">
        <v>2016</v>
      </c>
      <c r="C599" s="47" t="s">
        <v>64</v>
      </c>
      <c r="D599" s="45" t="s">
        <v>553</v>
      </c>
      <c r="E599" s="45" t="s">
        <v>1789</v>
      </c>
      <c r="F599" s="50">
        <v>3</v>
      </c>
    </row>
    <row r="600" spans="1:6" ht="20.100000000000001" customHeight="1">
      <c r="A600" s="44">
        <v>597</v>
      </c>
      <c r="B600" s="45">
        <v>2016</v>
      </c>
      <c r="C600" s="47" t="s">
        <v>64</v>
      </c>
      <c r="D600" s="45" t="s">
        <v>554</v>
      </c>
      <c r="E600" s="45" t="s">
        <v>1790</v>
      </c>
      <c r="F600" s="50">
        <v>3</v>
      </c>
    </row>
    <row r="601" spans="1:6" ht="20.100000000000001" customHeight="1">
      <c r="A601" s="44">
        <v>598</v>
      </c>
      <c r="B601" s="45">
        <v>2016</v>
      </c>
      <c r="C601" s="47" t="s">
        <v>37</v>
      </c>
      <c r="D601" s="45" t="s">
        <v>557</v>
      </c>
      <c r="E601" s="45" t="s">
        <v>1205</v>
      </c>
      <c r="F601" s="56">
        <v>48.36</v>
      </c>
    </row>
    <row r="602" spans="1:6" ht="20.100000000000001" customHeight="1">
      <c r="A602" s="44">
        <v>599</v>
      </c>
      <c r="B602" s="45">
        <v>2016</v>
      </c>
      <c r="C602" s="47" t="s">
        <v>37</v>
      </c>
      <c r="D602" s="45" t="s">
        <v>556</v>
      </c>
      <c r="E602" s="45" t="s">
        <v>1203</v>
      </c>
      <c r="F602" s="56">
        <v>20</v>
      </c>
    </row>
    <row r="603" spans="1:6" ht="20.100000000000001" customHeight="1">
      <c r="A603" s="44">
        <v>600</v>
      </c>
      <c r="B603" s="44">
        <v>2016</v>
      </c>
      <c r="C603" s="44" t="s">
        <v>29</v>
      </c>
      <c r="D603" s="44" t="s">
        <v>893</v>
      </c>
      <c r="E603" s="44" t="s">
        <v>1599</v>
      </c>
      <c r="F603" s="50">
        <v>44.8</v>
      </c>
    </row>
    <row r="604" spans="1:6" ht="20.100000000000001" customHeight="1">
      <c r="A604" s="44">
        <v>601</v>
      </c>
      <c r="B604" s="44">
        <v>2016</v>
      </c>
      <c r="C604" s="44" t="s">
        <v>29</v>
      </c>
      <c r="D604" s="44" t="s">
        <v>558</v>
      </c>
      <c r="E604" s="44" t="s">
        <v>1596</v>
      </c>
      <c r="F604" s="50">
        <v>60.48</v>
      </c>
    </row>
    <row r="605" spans="1:6" ht="20.100000000000001" customHeight="1">
      <c r="A605" s="44">
        <v>602</v>
      </c>
      <c r="B605" s="44">
        <v>2016</v>
      </c>
      <c r="C605" s="44" t="s">
        <v>29</v>
      </c>
      <c r="D605" s="44" t="s">
        <v>1597</v>
      </c>
      <c r="E605" s="44" t="s">
        <v>1598</v>
      </c>
      <c r="F605" s="50">
        <v>21</v>
      </c>
    </row>
    <row r="606" spans="1:6" ht="20.100000000000001" customHeight="1">
      <c r="A606" s="44">
        <v>603</v>
      </c>
      <c r="B606" s="44">
        <v>2016</v>
      </c>
      <c r="C606" s="41" t="s">
        <v>104</v>
      </c>
      <c r="D606" s="44" t="s">
        <v>559</v>
      </c>
      <c r="E606" s="44" t="s">
        <v>1600</v>
      </c>
      <c r="F606" s="50">
        <v>5</v>
      </c>
    </row>
    <row r="607" spans="1:6" ht="20.100000000000001" customHeight="1">
      <c r="A607" s="44">
        <v>604</v>
      </c>
      <c r="B607" s="44">
        <v>2016</v>
      </c>
      <c r="C607" s="41" t="s">
        <v>31</v>
      </c>
      <c r="D607" s="44" t="s">
        <v>560</v>
      </c>
      <c r="E607" s="44" t="s">
        <v>1698</v>
      </c>
      <c r="F607" s="50">
        <v>26.4</v>
      </c>
    </row>
    <row r="608" spans="1:6" ht="20.100000000000001" customHeight="1">
      <c r="A608" s="44">
        <v>605</v>
      </c>
      <c r="B608" s="44">
        <v>2016</v>
      </c>
      <c r="C608" s="41" t="s">
        <v>31</v>
      </c>
      <c r="D608" s="44" t="s">
        <v>561</v>
      </c>
      <c r="E608" s="44" t="s">
        <v>1701</v>
      </c>
      <c r="F608" s="50">
        <v>3</v>
      </c>
    </row>
    <row r="609" spans="1:6" ht="20.100000000000001" customHeight="1">
      <c r="A609" s="44">
        <v>606</v>
      </c>
      <c r="B609" s="44">
        <v>2016</v>
      </c>
      <c r="C609" s="41" t="s">
        <v>31</v>
      </c>
      <c r="D609" s="44" t="s">
        <v>562</v>
      </c>
      <c r="E609" s="44" t="s">
        <v>1702</v>
      </c>
      <c r="F609" s="50">
        <v>3</v>
      </c>
    </row>
    <row r="610" spans="1:6" ht="20.100000000000001" customHeight="1">
      <c r="A610" s="44">
        <v>607</v>
      </c>
      <c r="B610" s="44">
        <v>2016</v>
      </c>
      <c r="C610" s="41" t="s">
        <v>31</v>
      </c>
      <c r="D610" s="44" t="s">
        <v>563</v>
      </c>
      <c r="E610" s="44" t="s">
        <v>1703</v>
      </c>
      <c r="F610" s="50">
        <v>3</v>
      </c>
    </row>
    <row r="611" spans="1:6" ht="20.100000000000001" customHeight="1">
      <c r="A611" s="44">
        <v>608</v>
      </c>
      <c r="B611" s="44">
        <v>2016</v>
      </c>
      <c r="C611" s="41" t="s">
        <v>31</v>
      </c>
      <c r="D611" s="44" t="s">
        <v>1699</v>
      </c>
      <c r="E611" s="44" t="s">
        <v>1700</v>
      </c>
      <c r="F611" s="50">
        <v>3</v>
      </c>
    </row>
    <row r="612" spans="1:6" ht="20.100000000000001" customHeight="1">
      <c r="A612" s="44">
        <v>609</v>
      </c>
      <c r="B612" s="45">
        <v>2016</v>
      </c>
      <c r="C612" s="47" t="s">
        <v>34</v>
      </c>
      <c r="D612" s="45" t="s">
        <v>909</v>
      </c>
      <c r="E612" s="45" t="s">
        <v>1934</v>
      </c>
      <c r="F612" s="50">
        <v>10</v>
      </c>
    </row>
    <row r="613" spans="1:6" ht="20.100000000000001" customHeight="1">
      <c r="A613" s="44">
        <v>610</v>
      </c>
      <c r="B613" s="45">
        <v>2016</v>
      </c>
      <c r="C613" s="47" t="s">
        <v>34</v>
      </c>
      <c r="D613" s="45" t="s">
        <v>913</v>
      </c>
      <c r="E613" s="45" t="s">
        <v>1935</v>
      </c>
      <c r="F613" s="50">
        <v>10</v>
      </c>
    </row>
    <row r="614" spans="1:6" ht="20.100000000000001" customHeight="1">
      <c r="A614" s="44">
        <v>611</v>
      </c>
      <c r="B614" s="45">
        <v>2016</v>
      </c>
      <c r="C614" s="47" t="s">
        <v>34</v>
      </c>
      <c r="D614" s="45" t="s">
        <v>907</v>
      </c>
      <c r="E614" s="45" t="s">
        <v>1936</v>
      </c>
      <c r="F614" s="50">
        <v>20</v>
      </c>
    </row>
    <row r="615" spans="1:6" ht="20.100000000000001" customHeight="1">
      <c r="A615" s="44">
        <v>612</v>
      </c>
      <c r="B615" s="44">
        <v>2016</v>
      </c>
      <c r="C615" s="41" t="s">
        <v>33</v>
      </c>
      <c r="D615" s="44" t="s">
        <v>1601</v>
      </c>
      <c r="E615" s="44" t="s">
        <v>1506</v>
      </c>
      <c r="F615" s="50">
        <v>44.8</v>
      </c>
    </row>
    <row r="616" spans="1:6" ht="20.100000000000001" customHeight="1">
      <c r="A616" s="44">
        <v>613</v>
      </c>
      <c r="B616" s="44">
        <v>2016</v>
      </c>
      <c r="C616" s="41" t="s">
        <v>33</v>
      </c>
      <c r="D616" s="44" t="s">
        <v>565</v>
      </c>
      <c r="E616" s="44" t="s">
        <v>1603</v>
      </c>
      <c r="F616" s="50">
        <v>9.6</v>
      </c>
    </row>
    <row r="617" spans="1:6" ht="20.100000000000001" customHeight="1">
      <c r="A617" s="44">
        <v>614</v>
      </c>
      <c r="B617" s="44">
        <v>2016</v>
      </c>
      <c r="C617" s="41" t="s">
        <v>33</v>
      </c>
      <c r="D617" s="44" t="s">
        <v>566</v>
      </c>
      <c r="E617" s="44" t="s">
        <v>1604</v>
      </c>
      <c r="F617" s="50">
        <v>10.08</v>
      </c>
    </row>
    <row r="618" spans="1:6" ht="20.100000000000001" customHeight="1">
      <c r="A618" s="44">
        <v>615</v>
      </c>
      <c r="B618" s="44">
        <v>2016</v>
      </c>
      <c r="C618" s="41" t="s">
        <v>33</v>
      </c>
      <c r="D618" s="44" t="s">
        <v>564</v>
      </c>
      <c r="E618" s="44" t="s">
        <v>1602</v>
      </c>
      <c r="F618" s="50">
        <v>3</v>
      </c>
    </row>
    <row r="619" spans="1:6" ht="20.100000000000001" customHeight="1">
      <c r="A619" s="44">
        <v>616</v>
      </c>
      <c r="B619" s="44">
        <v>2016</v>
      </c>
      <c r="C619" s="41" t="s">
        <v>6</v>
      </c>
      <c r="D619" s="44" t="s">
        <v>567</v>
      </c>
      <c r="E619" s="44" t="s">
        <v>1373</v>
      </c>
      <c r="F619" s="50">
        <v>2</v>
      </c>
    </row>
    <row r="620" spans="1:6" ht="20.100000000000001" customHeight="1">
      <c r="A620" s="44">
        <v>617</v>
      </c>
      <c r="B620" s="44">
        <v>2016</v>
      </c>
      <c r="C620" s="41" t="s">
        <v>6</v>
      </c>
      <c r="D620" s="45" t="s">
        <v>2683</v>
      </c>
      <c r="E620" s="44" t="s">
        <v>1372</v>
      </c>
      <c r="F620" s="50">
        <v>8</v>
      </c>
    </row>
    <row r="621" spans="1:6" ht="20.100000000000001" customHeight="1">
      <c r="A621" s="44">
        <v>618</v>
      </c>
      <c r="B621" s="44">
        <v>2016</v>
      </c>
      <c r="C621" s="41" t="s">
        <v>56</v>
      </c>
      <c r="D621" s="44" t="s">
        <v>568</v>
      </c>
      <c r="E621" s="44" t="s">
        <v>1749</v>
      </c>
      <c r="F621" s="50">
        <v>30</v>
      </c>
    </row>
    <row r="622" spans="1:6" ht="20.100000000000001" customHeight="1">
      <c r="A622" s="44">
        <v>619</v>
      </c>
      <c r="B622" s="44">
        <v>2017</v>
      </c>
      <c r="C622" s="41" t="s">
        <v>2502</v>
      </c>
      <c r="D622" s="44" t="s">
        <v>572</v>
      </c>
      <c r="E622" s="44" t="s">
        <v>1827</v>
      </c>
      <c r="F622" s="50">
        <v>113</v>
      </c>
    </row>
    <row r="623" spans="1:6" ht="20.100000000000001" customHeight="1">
      <c r="A623" s="44">
        <v>620</v>
      </c>
      <c r="B623" s="44">
        <v>2017</v>
      </c>
      <c r="C623" s="41" t="s">
        <v>2502</v>
      </c>
      <c r="D623" s="44" t="s">
        <v>571</v>
      </c>
      <c r="E623" s="44" t="s">
        <v>1826</v>
      </c>
      <c r="F623" s="50">
        <v>60</v>
      </c>
    </row>
    <row r="624" spans="1:6" ht="20.100000000000001" customHeight="1">
      <c r="A624" s="44">
        <v>621</v>
      </c>
      <c r="B624" s="45">
        <v>2017</v>
      </c>
      <c r="C624" s="47" t="s">
        <v>573</v>
      </c>
      <c r="D624" s="45" t="s">
        <v>3000</v>
      </c>
      <c r="E624" s="45" t="s">
        <v>2011</v>
      </c>
      <c r="F624" s="50">
        <v>35.31</v>
      </c>
    </row>
    <row r="625" spans="1:9" s="53" customFormat="1" ht="20.100000000000001" customHeight="1">
      <c r="A625" s="44">
        <v>622</v>
      </c>
      <c r="B625" s="51">
        <v>2017</v>
      </c>
      <c r="C625" s="52" t="s">
        <v>2585</v>
      </c>
      <c r="D625" s="51" t="s">
        <v>575</v>
      </c>
      <c r="E625" s="51" t="s">
        <v>1069</v>
      </c>
      <c r="F625" s="90">
        <v>125.568</v>
      </c>
    </row>
    <row r="626" spans="1:9" ht="20.100000000000001" customHeight="1">
      <c r="A626" s="44">
        <v>623</v>
      </c>
      <c r="B626" s="44">
        <v>2017</v>
      </c>
      <c r="C626" s="41" t="s">
        <v>2473</v>
      </c>
      <c r="D626" s="44" t="s">
        <v>576</v>
      </c>
      <c r="E626" s="44" t="s">
        <v>1807</v>
      </c>
      <c r="F626" s="50">
        <v>66</v>
      </c>
    </row>
    <row r="627" spans="1:9" ht="20.100000000000001" customHeight="1">
      <c r="A627" s="44">
        <v>624</v>
      </c>
      <c r="B627" s="44">
        <v>2017</v>
      </c>
      <c r="C627" s="41" t="s">
        <v>2474</v>
      </c>
      <c r="D627" s="44" t="s">
        <v>577</v>
      </c>
      <c r="E627" s="44" t="s">
        <v>1808</v>
      </c>
      <c r="F627" s="50">
        <v>17.75</v>
      </c>
    </row>
    <row r="628" spans="1:9" ht="20.100000000000001" customHeight="1">
      <c r="A628" s="44">
        <v>625</v>
      </c>
      <c r="B628" s="44">
        <v>2017</v>
      </c>
      <c r="C628" s="41" t="s">
        <v>2474</v>
      </c>
      <c r="D628" s="44" t="s">
        <v>578</v>
      </c>
      <c r="E628" s="44" t="s">
        <v>1809</v>
      </c>
      <c r="F628" s="50">
        <v>8.7750000000000004</v>
      </c>
    </row>
    <row r="629" spans="1:9" ht="20.100000000000001" customHeight="1">
      <c r="A629" s="44">
        <v>626</v>
      </c>
      <c r="B629" s="45">
        <v>2017</v>
      </c>
      <c r="C629" s="47" t="s">
        <v>38</v>
      </c>
      <c r="D629" s="45" t="s">
        <v>902</v>
      </c>
      <c r="E629" s="45" t="s">
        <v>1605</v>
      </c>
      <c r="F629" s="50">
        <v>48.7</v>
      </c>
    </row>
    <row r="630" spans="1:9" ht="20.100000000000001" customHeight="1">
      <c r="A630" s="44">
        <v>627</v>
      </c>
      <c r="B630" s="45">
        <v>2017</v>
      </c>
      <c r="C630" s="47" t="s">
        <v>40</v>
      </c>
      <c r="D630" s="45" t="s">
        <v>580</v>
      </c>
      <c r="E630" s="45" t="s">
        <v>1821</v>
      </c>
      <c r="F630" s="50">
        <v>124</v>
      </c>
    </row>
    <row r="631" spans="1:9" ht="20.100000000000001" customHeight="1">
      <c r="A631" s="44">
        <v>628</v>
      </c>
      <c r="B631" s="44">
        <v>2017</v>
      </c>
      <c r="C631" s="41" t="s">
        <v>337</v>
      </c>
      <c r="D631" s="44" t="s">
        <v>579</v>
      </c>
      <c r="E631" s="44" t="s">
        <v>1937</v>
      </c>
      <c r="F631" s="50">
        <v>47.25</v>
      </c>
    </row>
    <row r="632" spans="1:9" ht="20.100000000000001" customHeight="1">
      <c r="A632" s="44">
        <v>629</v>
      </c>
      <c r="B632" s="44">
        <v>2017</v>
      </c>
      <c r="C632" s="41" t="s">
        <v>278</v>
      </c>
      <c r="D632" s="44" t="s">
        <v>581</v>
      </c>
      <c r="E632" s="44" t="s">
        <v>1375</v>
      </c>
      <c r="F632" s="50">
        <v>9</v>
      </c>
      <c r="G632" s="42"/>
      <c r="H632" s="42"/>
      <c r="I632" s="42"/>
    </row>
    <row r="633" spans="1:9" ht="20.100000000000001" customHeight="1">
      <c r="A633" s="44">
        <v>630</v>
      </c>
      <c r="B633" s="44">
        <v>2017</v>
      </c>
      <c r="C633" s="41" t="s">
        <v>1282</v>
      </c>
      <c r="D633" s="44" t="s">
        <v>583</v>
      </c>
      <c r="E633" s="44" t="s">
        <v>2556</v>
      </c>
      <c r="F633" s="50">
        <v>25.65</v>
      </c>
    </row>
    <row r="634" spans="1:9" ht="20.100000000000001" customHeight="1">
      <c r="A634" s="44">
        <v>631</v>
      </c>
      <c r="B634" s="44">
        <v>2017</v>
      </c>
      <c r="C634" s="41" t="s">
        <v>278</v>
      </c>
      <c r="D634" s="44" t="s">
        <v>582</v>
      </c>
      <c r="E634" s="44" t="s">
        <v>1376</v>
      </c>
      <c r="F634" s="50">
        <v>23.45</v>
      </c>
    </row>
    <row r="635" spans="1:9" ht="20.100000000000001" customHeight="1">
      <c r="A635" s="44">
        <v>632</v>
      </c>
      <c r="B635" s="44">
        <v>2017</v>
      </c>
      <c r="C635" s="41" t="s">
        <v>122</v>
      </c>
      <c r="D635" s="44" t="s">
        <v>584</v>
      </c>
      <c r="E635" s="44" t="s">
        <v>1920</v>
      </c>
      <c r="F635" s="50">
        <v>20</v>
      </c>
    </row>
    <row r="636" spans="1:9" ht="20.100000000000001" customHeight="1">
      <c r="A636" s="44">
        <v>633</v>
      </c>
      <c r="B636" s="45">
        <v>2017</v>
      </c>
      <c r="C636" s="47" t="s">
        <v>58</v>
      </c>
      <c r="D636" s="45" t="s">
        <v>1055</v>
      </c>
      <c r="E636" s="45" t="s">
        <v>1056</v>
      </c>
      <c r="F636" s="50">
        <v>30</v>
      </c>
    </row>
    <row r="637" spans="1:9" ht="20.100000000000001" customHeight="1">
      <c r="A637" s="44">
        <v>634</v>
      </c>
      <c r="B637" s="45">
        <v>2017</v>
      </c>
      <c r="C637" s="47" t="s">
        <v>2586</v>
      </c>
      <c r="D637" s="45" t="s">
        <v>585</v>
      </c>
      <c r="E637" s="45" t="s">
        <v>1606</v>
      </c>
      <c r="F637" s="50">
        <v>21.4</v>
      </c>
    </row>
    <row r="638" spans="1:9" ht="20.100000000000001" customHeight="1">
      <c r="A638" s="44">
        <v>635</v>
      </c>
      <c r="B638" s="45">
        <v>2017</v>
      </c>
      <c r="C638" s="47" t="s">
        <v>586</v>
      </c>
      <c r="D638" s="45" t="s">
        <v>1993</v>
      </c>
      <c r="E638" s="45" t="s">
        <v>1994</v>
      </c>
      <c r="F638" s="50">
        <v>9.92</v>
      </c>
    </row>
    <row r="639" spans="1:9" ht="20.100000000000001" customHeight="1">
      <c r="A639" s="44">
        <v>636</v>
      </c>
      <c r="B639" s="45">
        <v>2017</v>
      </c>
      <c r="C639" s="47" t="s">
        <v>12</v>
      </c>
      <c r="D639" s="45" t="s">
        <v>587</v>
      </c>
      <c r="E639" s="45" t="s">
        <v>1874</v>
      </c>
      <c r="F639" s="50">
        <v>3</v>
      </c>
    </row>
    <row r="640" spans="1:9" ht="20.100000000000001" customHeight="1">
      <c r="A640" s="44">
        <v>637</v>
      </c>
      <c r="B640" s="44">
        <v>2017</v>
      </c>
      <c r="C640" s="41" t="s">
        <v>75</v>
      </c>
      <c r="D640" s="44" t="s">
        <v>588</v>
      </c>
      <c r="E640" s="44" t="s">
        <v>1377</v>
      </c>
      <c r="F640" s="50">
        <v>88.2</v>
      </c>
    </row>
    <row r="641" spans="1:6" ht="20.100000000000001" customHeight="1">
      <c r="A641" s="44">
        <v>638</v>
      </c>
      <c r="B641" s="45">
        <v>2017</v>
      </c>
      <c r="C641" s="47" t="s">
        <v>209</v>
      </c>
      <c r="D641" s="45" t="s">
        <v>589</v>
      </c>
      <c r="E641" s="45" t="s">
        <v>1279</v>
      </c>
      <c r="F641" s="50">
        <v>5.16</v>
      </c>
    </row>
    <row r="642" spans="1:6" ht="20.100000000000001" customHeight="1">
      <c r="A642" s="44">
        <v>639</v>
      </c>
      <c r="B642" s="45">
        <v>2017</v>
      </c>
      <c r="C642" s="47" t="s">
        <v>590</v>
      </c>
      <c r="D642" s="45" t="s">
        <v>591</v>
      </c>
      <c r="E642" s="45" t="s">
        <v>1378</v>
      </c>
      <c r="F642" s="50">
        <v>6.12</v>
      </c>
    </row>
    <row r="643" spans="1:6" ht="20.100000000000001" customHeight="1">
      <c r="A643" s="44">
        <v>640</v>
      </c>
      <c r="B643" s="45">
        <v>2017</v>
      </c>
      <c r="C643" s="47" t="s">
        <v>76</v>
      </c>
      <c r="D643" s="45" t="s">
        <v>592</v>
      </c>
      <c r="E643" s="45" t="s">
        <v>992</v>
      </c>
      <c r="F643" s="50">
        <v>27.5</v>
      </c>
    </row>
    <row r="644" spans="1:6" ht="20.100000000000001" customHeight="1">
      <c r="A644" s="44">
        <v>641</v>
      </c>
      <c r="B644" s="45">
        <v>2017</v>
      </c>
      <c r="C644" s="47" t="s">
        <v>76</v>
      </c>
      <c r="D644" s="45" t="s">
        <v>594</v>
      </c>
      <c r="E644" s="45" t="s">
        <v>978</v>
      </c>
      <c r="F644" s="50">
        <v>5</v>
      </c>
    </row>
    <row r="645" spans="1:6" ht="20.100000000000001" customHeight="1">
      <c r="A645" s="44">
        <v>642</v>
      </c>
      <c r="B645" s="45">
        <v>2017</v>
      </c>
      <c r="C645" s="47" t="s">
        <v>76</v>
      </c>
      <c r="D645" s="45" t="s">
        <v>593</v>
      </c>
      <c r="E645" s="45" t="s">
        <v>994</v>
      </c>
      <c r="F645" s="50">
        <v>32</v>
      </c>
    </row>
    <row r="646" spans="1:6" ht="20.100000000000001" customHeight="1">
      <c r="A646" s="44">
        <v>643</v>
      </c>
      <c r="B646" s="45">
        <v>2017</v>
      </c>
      <c r="C646" s="47" t="s">
        <v>55</v>
      </c>
      <c r="D646" s="45" t="s">
        <v>595</v>
      </c>
      <c r="E646" s="45" t="s">
        <v>1726</v>
      </c>
      <c r="F646" s="50">
        <v>5.2</v>
      </c>
    </row>
    <row r="647" spans="1:6" ht="20.100000000000001" customHeight="1">
      <c r="A647" s="44">
        <v>644</v>
      </c>
      <c r="B647" s="45">
        <v>2017</v>
      </c>
      <c r="C647" s="47" t="s">
        <v>8</v>
      </c>
      <c r="D647" s="45" t="s">
        <v>2787</v>
      </c>
      <c r="E647" s="45" t="s">
        <v>1380</v>
      </c>
      <c r="F647" s="50">
        <v>5</v>
      </c>
    </row>
    <row r="648" spans="1:6" ht="20.100000000000001" customHeight="1">
      <c r="A648" s="44">
        <v>645</v>
      </c>
      <c r="B648" s="45">
        <v>2017</v>
      </c>
      <c r="C648" s="47" t="s">
        <v>8</v>
      </c>
      <c r="D648" s="45" t="s">
        <v>597</v>
      </c>
      <c r="E648" s="45" t="s">
        <v>1381</v>
      </c>
      <c r="F648" s="50">
        <v>15.2</v>
      </c>
    </row>
    <row r="649" spans="1:6" ht="20.100000000000001" customHeight="1">
      <c r="A649" s="44">
        <v>646</v>
      </c>
      <c r="B649" s="45">
        <v>2017</v>
      </c>
      <c r="C649" s="47" t="s">
        <v>8</v>
      </c>
      <c r="D649" s="45" t="s">
        <v>596</v>
      </c>
      <c r="E649" s="45" t="s">
        <v>1379</v>
      </c>
      <c r="F649" s="50">
        <v>45.54</v>
      </c>
    </row>
    <row r="650" spans="1:6" ht="20.100000000000001" customHeight="1">
      <c r="A650" s="44">
        <v>647</v>
      </c>
      <c r="B650" s="45">
        <v>2017</v>
      </c>
      <c r="C650" s="47" t="s">
        <v>23</v>
      </c>
      <c r="D650" s="45" t="s">
        <v>599</v>
      </c>
      <c r="E650" s="45" t="s">
        <v>2809</v>
      </c>
      <c r="F650" s="50">
        <v>31.35</v>
      </c>
    </row>
    <row r="651" spans="1:6" ht="20.100000000000001" customHeight="1">
      <c r="A651" s="44">
        <v>648</v>
      </c>
      <c r="B651" s="45">
        <v>2017</v>
      </c>
      <c r="C651" s="47" t="s">
        <v>2042</v>
      </c>
      <c r="D651" s="45" t="s">
        <v>598</v>
      </c>
      <c r="E651" s="45" t="s">
        <v>2810</v>
      </c>
      <c r="F651" s="50">
        <v>30</v>
      </c>
    </row>
    <row r="652" spans="1:6" ht="20.100000000000001" customHeight="1">
      <c r="A652" s="44">
        <v>649</v>
      </c>
      <c r="B652" s="44">
        <v>2017</v>
      </c>
      <c r="C652" s="41" t="s">
        <v>86</v>
      </c>
      <c r="D652" s="44" t="s">
        <v>601</v>
      </c>
      <c r="E652" s="44" t="s">
        <v>1942</v>
      </c>
      <c r="F652" s="50">
        <v>9.4499999999999993</v>
      </c>
    </row>
    <row r="653" spans="1:6" ht="20.100000000000001" customHeight="1">
      <c r="A653" s="44">
        <v>650</v>
      </c>
      <c r="B653" s="44">
        <v>2017</v>
      </c>
      <c r="C653" s="41" t="s">
        <v>86</v>
      </c>
      <c r="D653" s="44" t="s">
        <v>600</v>
      </c>
      <c r="E653" s="44" t="s">
        <v>1941</v>
      </c>
      <c r="F653" s="50">
        <v>36</v>
      </c>
    </row>
    <row r="654" spans="1:6" ht="20.100000000000001" customHeight="1">
      <c r="A654" s="44">
        <v>651</v>
      </c>
      <c r="B654" s="44">
        <v>2017</v>
      </c>
      <c r="C654" s="41" t="s">
        <v>14</v>
      </c>
      <c r="D654" s="44" t="s">
        <v>602</v>
      </c>
      <c r="E654" s="44" t="s">
        <v>1382</v>
      </c>
      <c r="F654" s="50">
        <v>3</v>
      </c>
    </row>
    <row r="655" spans="1:6" ht="20.100000000000001" customHeight="1">
      <c r="A655" s="44">
        <v>652</v>
      </c>
      <c r="B655" s="44">
        <v>2017</v>
      </c>
      <c r="C655" s="41" t="s">
        <v>14</v>
      </c>
      <c r="D655" s="44" t="s">
        <v>604</v>
      </c>
      <c r="E655" s="44" t="s">
        <v>1384</v>
      </c>
      <c r="F655" s="50">
        <v>3</v>
      </c>
    </row>
    <row r="656" spans="1:6" ht="20.100000000000001" customHeight="1">
      <c r="A656" s="44">
        <v>653</v>
      </c>
      <c r="B656" s="44">
        <v>2017</v>
      </c>
      <c r="C656" s="41" t="s">
        <v>14</v>
      </c>
      <c r="D656" s="44" t="s">
        <v>606</v>
      </c>
      <c r="E656" s="44" t="s">
        <v>1386</v>
      </c>
      <c r="F656" s="50">
        <v>3</v>
      </c>
    </row>
    <row r="657" spans="1:6" ht="20.100000000000001" customHeight="1">
      <c r="A657" s="44">
        <v>654</v>
      </c>
      <c r="B657" s="44">
        <v>2017</v>
      </c>
      <c r="C657" s="41" t="s">
        <v>14</v>
      </c>
      <c r="D657" s="44" t="s">
        <v>605</v>
      </c>
      <c r="E657" s="44" t="s">
        <v>1385</v>
      </c>
      <c r="F657" s="50">
        <v>5.04</v>
      </c>
    </row>
    <row r="658" spans="1:6" ht="20.100000000000001" customHeight="1">
      <c r="A658" s="44">
        <v>655</v>
      </c>
      <c r="B658" s="44">
        <v>2017</v>
      </c>
      <c r="C658" s="41" t="s">
        <v>14</v>
      </c>
      <c r="D658" s="44" t="s">
        <v>603</v>
      </c>
      <c r="E658" s="44" t="s">
        <v>1383</v>
      </c>
      <c r="F658" s="50">
        <v>3</v>
      </c>
    </row>
    <row r="659" spans="1:6" ht="20.100000000000001" customHeight="1">
      <c r="A659" s="44">
        <v>656</v>
      </c>
      <c r="B659" s="45">
        <v>2017</v>
      </c>
      <c r="C659" s="47" t="s">
        <v>43</v>
      </c>
      <c r="D659" s="45" t="s">
        <v>607</v>
      </c>
      <c r="E659" s="45" t="s">
        <v>1181</v>
      </c>
      <c r="F659" s="50">
        <v>41.201999999999998</v>
      </c>
    </row>
    <row r="660" spans="1:6" ht="20.100000000000001" customHeight="1">
      <c r="A660" s="44">
        <v>657</v>
      </c>
      <c r="B660" s="45">
        <v>2017</v>
      </c>
      <c r="C660" s="47" t="s">
        <v>43</v>
      </c>
      <c r="D660" s="45" t="s">
        <v>894</v>
      </c>
      <c r="E660" s="45" t="s">
        <v>1160</v>
      </c>
      <c r="F660" s="50">
        <v>34.79</v>
      </c>
    </row>
    <row r="661" spans="1:6" ht="20.100000000000001" customHeight="1">
      <c r="A661" s="44">
        <v>658</v>
      </c>
      <c r="B661" s="45">
        <v>2017</v>
      </c>
      <c r="C661" s="47" t="s">
        <v>43</v>
      </c>
      <c r="D661" s="45" t="s">
        <v>1169</v>
      </c>
      <c r="E661" s="45" t="s">
        <v>1170</v>
      </c>
      <c r="F661" s="50">
        <v>78</v>
      </c>
    </row>
    <row r="662" spans="1:6" ht="20.100000000000001" customHeight="1">
      <c r="A662" s="44">
        <v>659</v>
      </c>
      <c r="B662" s="44">
        <v>2017</v>
      </c>
      <c r="C662" s="41" t="s">
        <v>26</v>
      </c>
      <c r="D662" s="44" t="s">
        <v>1944</v>
      </c>
      <c r="E662" s="44" t="s">
        <v>1945</v>
      </c>
      <c r="F662" s="50">
        <v>10.1</v>
      </c>
    </row>
    <row r="663" spans="1:6" ht="20.100000000000001" customHeight="1">
      <c r="A663" s="44">
        <v>660</v>
      </c>
      <c r="B663" s="44">
        <v>2017</v>
      </c>
      <c r="C663" s="41" t="s">
        <v>26</v>
      </c>
      <c r="D663" s="44" t="s">
        <v>613</v>
      </c>
      <c r="E663" s="44" t="s">
        <v>1950</v>
      </c>
      <c r="F663" s="50">
        <v>20</v>
      </c>
    </row>
    <row r="664" spans="1:6" ht="20.100000000000001" customHeight="1">
      <c r="A664" s="44">
        <v>661</v>
      </c>
      <c r="B664" s="44">
        <v>2017</v>
      </c>
      <c r="C664" s="41" t="s">
        <v>26</v>
      </c>
      <c r="D664" s="44" t="s">
        <v>614</v>
      </c>
      <c r="E664" s="44" t="s">
        <v>1951</v>
      </c>
      <c r="F664" s="50">
        <v>17.420000000000002</v>
      </c>
    </row>
    <row r="665" spans="1:6" ht="20.100000000000001" customHeight="1">
      <c r="A665" s="44">
        <v>662</v>
      </c>
      <c r="B665" s="44">
        <v>2017</v>
      </c>
      <c r="C665" s="41" t="s">
        <v>26</v>
      </c>
      <c r="D665" s="44" t="s">
        <v>608</v>
      </c>
      <c r="E665" s="44" t="s">
        <v>1943</v>
      </c>
      <c r="F665" s="50">
        <v>3</v>
      </c>
    </row>
    <row r="666" spans="1:6" ht="20.100000000000001" customHeight="1">
      <c r="A666" s="44">
        <v>663</v>
      </c>
      <c r="B666" s="44">
        <v>2017</v>
      </c>
      <c r="C666" s="41" t="s">
        <v>26</v>
      </c>
      <c r="D666" s="44" t="s">
        <v>610</v>
      </c>
      <c r="E666" s="44" t="s">
        <v>1947</v>
      </c>
      <c r="F666" s="50">
        <v>15</v>
      </c>
    </row>
    <row r="667" spans="1:6" ht="20.100000000000001" customHeight="1">
      <c r="A667" s="44">
        <v>664</v>
      </c>
      <c r="B667" s="44">
        <v>2017</v>
      </c>
      <c r="C667" s="41" t="s">
        <v>26</v>
      </c>
      <c r="D667" s="44" t="s">
        <v>612</v>
      </c>
      <c r="E667" s="44" t="s">
        <v>1949</v>
      </c>
      <c r="F667" s="50">
        <v>8</v>
      </c>
    </row>
    <row r="668" spans="1:6" ht="20.100000000000001" customHeight="1">
      <c r="A668" s="44">
        <v>665</v>
      </c>
      <c r="B668" s="44">
        <v>2017</v>
      </c>
      <c r="C668" s="41" t="s">
        <v>26</v>
      </c>
      <c r="D668" s="44" t="s">
        <v>609</v>
      </c>
      <c r="E668" s="44" t="s">
        <v>1946</v>
      </c>
      <c r="F668" s="50">
        <v>3</v>
      </c>
    </row>
    <row r="669" spans="1:6" ht="20.100000000000001" customHeight="1">
      <c r="A669" s="44">
        <v>666</v>
      </c>
      <c r="B669" s="44">
        <v>2017</v>
      </c>
      <c r="C669" s="41" t="s">
        <v>26</v>
      </c>
      <c r="D669" s="44" t="s">
        <v>611</v>
      </c>
      <c r="E669" s="44" t="s">
        <v>1948</v>
      </c>
      <c r="F669" s="50">
        <v>45</v>
      </c>
    </row>
    <row r="670" spans="1:6" ht="20.100000000000001" customHeight="1">
      <c r="A670" s="44">
        <v>667</v>
      </c>
      <c r="B670" s="44">
        <v>2017</v>
      </c>
      <c r="C670" s="41" t="s">
        <v>70</v>
      </c>
      <c r="D670" s="44" t="s">
        <v>2256</v>
      </c>
      <c r="E670" s="44" t="s">
        <v>1612</v>
      </c>
      <c r="F670" s="50">
        <v>33</v>
      </c>
    </row>
    <row r="671" spans="1:6" ht="20.100000000000001" customHeight="1">
      <c r="A671" s="44">
        <v>668</v>
      </c>
      <c r="B671" s="44">
        <v>2017</v>
      </c>
      <c r="C671" s="41" t="s">
        <v>70</v>
      </c>
      <c r="D671" s="44" t="s">
        <v>616</v>
      </c>
      <c r="E671" s="44" t="s">
        <v>1511</v>
      </c>
      <c r="F671" s="50">
        <v>15</v>
      </c>
    </row>
    <row r="672" spans="1:6" ht="20.100000000000001" customHeight="1">
      <c r="A672" s="44">
        <v>669</v>
      </c>
      <c r="B672" s="44">
        <v>2017</v>
      </c>
      <c r="C672" s="41" t="s">
        <v>70</v>
      </c>
      <c r="D672" s="44" t="s">
        <v>624</v>
      </c>
      <c r="E672" s="44" t="s">
        <v>1616</v>
      </c>
      <c r="F672" s="50">
        <v>6</v>
      </c>
    </row>
    <row r="673" spans="1:6" ht="20.100000000000001" customHeight="1">
      <c r="A673" s="44">
        <v>670</v>
      </c>
      <c r="B673" s="44">
        <v>2017</v>
      </c>
      <c r="C673" s="41" t="s">
        <v>70</v>
      </c>
      <c r="D673" s="44" t="s">
        <v>619</v>
      </c>
      <c r="E673" s="44" t="s">
        <v>1610</v>
      </c>
      <c r="F673" s="50">
        <v>5</v>
      </c>
    </row>
    <row r="674" spans="1:6" ht="20.100000000000001" customHeight="1">
      <c r="A674" s="44">
        <v>671</v>
      </c>
      <c r="B674" s="44">
        <v>2017</v>
      </c>
      <c r="C674" s="41" t="s">
        <v>70</v>
      </c>
      <c r="D674" s="44" t="s">
        <v>623</v>
      </c>
      <c r="E674" s="44" t="s">
        <v>1615</v>
      </c>
      <c r="F674" s="50">
        <v>45.2</v>
      </c>
    </row>
    <row r="675" spans="1:6" ht="20.100000000000001" customHeight="1">
      <c r="A675" s="44">
        <v>672</v>
      </c>
      <c r="B675" s="44">
        <v>2017</v>
      </c>
      <c r="C675" s="41" t="s">
        <v>70</v>
      </c>
      <c r="D675" s="44" t="s">
        <v>620</v>
      </c>
      <c r="E675" s="44" t="s">
        <v>1611</v>
      </c>
      <c r="F675" s="50">
        <v>9</v>
      </c>
    </row>
    <row r="676" spans="1:6" ht="20.100000000000001" customHeight="1">
      <c r="A676" s="44">
        <v>673</v>
      </c>
      <c r="B676" s="44">
        <v>2017</v>
      </c>
      <c r="C676" s="41" t="s">
        <v>1491</v>
      </c>
      <c r="D676" s="44" t="s">
        <v>621</v>
      </c>
      <c r="E676" s="44" t="s">
        <v>1613</v>
      </c>
      <c r="F676" s="50">
        <v>45.78</v>
      </c>
    </row>
    <row r="677" spans="1:6" ht="20.100000000000001" customHeight="1">
      <c r="A677" s="44">
        <v>674</v>
      </c>
      <c r="B677" s="44">
        <v>2017</v>
      </c>
      <c r="C677" s="41" t="s">
        <v>1491</v>
      </c>
      <c r="D677" s="44" t="s">
        <v>615</v>
      </c>
      <c r="E677" s="44" t="s">
        <v>1607</v>
      </c>
      <c r="F677" s="50">
        <v>7</v>
      </c>
    </row>
    <row r="678" spans="1:6" ht="20.100000000000001" customHeight="1">
      <c r="A678" s="44">
        <v>675</v>
      </c>
      <c r="B678" s="44">
        <v>2017</v>
      </c>
      <c r="C678" s="41" t="s">
        <v>1491</v>
      </c>
      <c r="D678" s="44" t="s">
        <v>618</v>
      </c>
      <c r="E678" s="44" t="s">
        <v>1609</v>
      </c>
      <c r="F678" s="50">
        <v>1.5</v>
      </c>
    </row>
    <row r="679" spans="1:6" ht="20.100000000000001" customHeight="1">
      <c r="A679" s="44">
        <v>676</v>
      </c>
      <c r="B679" s="44">
        <v>2017</v>
      </c>
      <c r="C679" s="41" t="s">
        <v>1491</v>
      </c>
      <c r="D679" s="44" t="s">
        <v>622</v>
      </c>
      <c r="E679" s="44" t="s">
        <v>1614</v>
      </c>
      <c r="F679" s="50">
        <v>399.5</v>
      </c>
    </row>
    <row r="680" spans="1:6" ht="20.100000000000001" customHeight="1">
      <c r="A680" s="44">
        <v>677</v>
      </c>
      <c r="B680" s="44">
        <v>2017</v>
      </c>
      <c r="C680" s="41" t="s">
        <v>70</v>
      </c>
      <c r="D680" s="44" t="s">
        <v>617</v>
      </c>
      <c r="E680" s="44" t="s">
        <v>1608</v>
      </c>
      <c r="F680" s="50">
        <v>5</v>
      </c>
    </row>
    <row r="681" spans="1:6" ht="20.100000000000001" customHeight="1">
      <c r="A681" s="44">
        <v>678</v>
      </c>
      <c r="B681" s="45">
        <v>2017</v>
      </c>
      <c r="C681" s="47" t="s">
        <v>933</v>
      </c>
      <c r="D681" s="45" t="s">
        <v>2383</v>
      </c>
      <c r="E681" s="45" t="s">
        <v>2463</v>
      </c>
      <c r="F681" s="50">
        <v>10</v>
      </c>
    </row>
    <row r="682" spans="1:6" ht="20.100000000000001" customHeight="1">
      <c r="A682" s="44">
        <v>679</v>
      </c>
      <c r="B682" s="45">
        <v>2017</v>
      </c>
      <c r="C682" s="47" t="s">
        <v>19</v>
      </c>
      <c r="D682" s="45" t="s">
        <v>625</v>
      </c>
      <c r="E682" s="45" t="s">
        <v>1387</v>
      </c>
      <c r="F682" s="50">
        <v>0.6</v>
      </c>
    </row>
    <row r="683" spans="1:6" ht="20.100000000000001" customHeight="1">
      <c r="A683" s="44">
        <v>680</v>
      </c>
      <c r="B683" s="45">
        <v>2017</v>
      </c>
      <c r="C683" s="47" t="s">
        <v>1389</v>
      </c>
      <c r="D683" s="45" t="s">
        <v>2517</v>
      </c>
      <c r="E683" s="45" t="s">
        <v>1390</v>
      </c>
      <c r="F683" s="50">
        <v>60.48</v>
      </c>
    </row>
    <row r="684" spans="1:6" ht="20.100000000000001" customHeight="1">
      <c r="A684" s="44">
        <v>681</v>
      </c>
      <c r="B684" s="45">
        <v>2017</v>
      </c>
      <c r="C684" s="47" t="s">
        <v>19</v>
      </c>
      <c r="D684" s="45" t="s">
        <v>626</v>
      </c>
      <c r="E684" s="45" t="s">
        <v>1388</v>
      </c>
      <c r="F684" s="50">
        <v>8</v>
      </c>
    </row>
    <row r="685" spans="1:6" ht="20.100000000000001" customHeight="1">
      <c r="A685" s="44">
        <v>682</v>
      </c>
      <c r="B685" s="45">
        <v>2017</v>
      </c>
      <c r="C685" s="47" t="s">
        <v>16</v>
      </c>
      <c r="D685" s="45" t="s">
        <v>629</v>
      </c>
      <c r="E685" s="45" t="s">
        <v>1954</v>
      </c>
      <c r="F685" s="50">
        <v>35</v>
      </c>
    </row>
    <row r="686" spans="1:6" ht="20.100000000000001" customHeight="1">
      <c r="A686" s="44">
        <v>683</v>
      </c>
      <c r="B686" s="45">
        <v>2017</v>
      </c>
      <c r="C686" s="47" t="s">
        <v>16</v>
      </c>
      <c r="D686" s="45" t="s">
        <v>627</v>
      </c>
      <c r="E686" s="45" t="s">
        <v>1952</v>
      </c>
      <c r="F686" s="50">
        <v>3</v>
      </c>
    </row>
    <row r="687" spans="1:6" ht="20.100000000000001" customHeight="1">
      <c r="A687" s="44">
        <v>684</v>
      </c>
      <c r="B687" s="45">
        <v>2017</v>
      </c>
      <c r="C687" s="47" t="s">
        <v>16</v>
      </c>
      <c r="D687" s="45" t="s">
        <v>628</v>
      </c>
      <c r="E687" s="45" t="s">
        <v>1953</v>
      </c>
      <c r="F687" s="50">
        <v>112.84</v>
      </c>
    </row>
    <row r="688" spans="1:6" ht="20.100000000000001" customHeight="1">
      <c r="A688" s="44">
        <v>685</v>
      </c>
      <c r="B688" s="45">
        <v>2017</v>
      </c>
      <c r="C688" s="47" t="s">
        <v>64</v>
      </c>
      <c r="D688" s="45" t="s">
        <v>630</v>
      </c>
      <c r="E688" s="45" t="s">
        <v>1792</v>
      </c>
      <c r="F688" s="50">
        <v>10.050000000000001</v>
      </c>
    </row>
    <row r="689" spans="1:6" ht="20.100000000000001" customHeight="1">
      <c r="A689" s="44">
        <v>686</v>
      </c>
      <c r="B689" s="37">
        <v>2017</v>
      </c>
      <c r="C689" s="37" t="s">
        <v>2050</v>
      </c>
      <c r="D689" s="37" t="s">
        <v>2252</v>
      </c>
      <c r="E689" s="65" t="s">
        <v>2253</v>
      </c>
      <c r="F689" s="76">
        <v>3</v>
      </c>
    </row>
    <row r="690" spans="1:6" ht="20.100000000000001" customHeight="1">
      <c r="A690" s="44">
        <v>687</v>
      </c>
      <c r="B690" s="45">
        <v>2017</v>
      </c>
      <c r="C690" s="47" t="s">
        <v>37</v>
      </c>
      <c r="D690" s="45" t="s">
        <v>631</v>
      </c>
      <c r="E690" s="45" t="s">
        <v>1206</v>
      </c>
      <c r="F690" s="56">
        <v>41</v>
      </c>
    </row>
    <row r="691" spans="1:6" ht="20.100000000000001" customHeight="1">
      <c r="A691" s="44">
        <v>688</v>
      </c>
      <c r="B691" s="44">
        <v>2017</v>
      </c>
      <c r="C691" s="44" t="s">
        <v>29</v>
      </c>
      <c r="D691" s="44" t="s">
        <v>632</v>
      </c>
      <c r="E691" s="44" t="s">
        <v>1617</v>
      </c>
      <c r="F691" s="50">
        <v>10</v>
      </c>
    </row>
    <row r="692" spans="1:6" ht="20.100000000000001" customHeight="1">
      <c r="A692" s="44">
        <v>689</v>
      </c>
      <c r="B692" s="44">
        <v>2017</v>
      </c>
      <c r="C692" s="41" t="s">
        <v>31</v>
      </c>
      <c r="D692" s="44" t="s">
        <v>633</v>
      </c>
      <c r="E692" s="44" t="s">
        <v>1704</v>
      </c>
      <c r="F692" s="50">
        <v>13</v>
      </c>
    </row>
    <row r="693" spans="1:6" ht="20.100000000000001" customHeight="1">
      <c r="A693" s="44">
        <v>690</v>
      </c>
      <c r="B693" s="45">
        <v>2017</v>
      </c>
      <c r="C693" s="47" t="s">
        <v>34</v>
      </c>
      <c r="D693" s="45" t="s">
        <v>912</v>
      </c>
      <c r="E693" s="45" t="s">
        <v>1955</v>
      </c>
      <c r="F693" s="50">
        <v>3</v>
      </c>
    </row>
    <row r="694" spans="1:6" ht="20.100000000000001" customHeight="1">
      <c r="A694" s="44">
        <v>691</v>
      </c>
      <c r="B694" s="44">
        <v>2017</v>
      </c>
      <c r="C694" s="41" t="s">
        <v>33</v>
      </c>
      <c r="D694" s="44" t="s">
        <v>634</v>
      </c>
      <c r="E694" s="44" t="s">
        <v>1618</v>
      </c>
      <c r="F694" s="50">
        <v>3</v>
      </c>
    </row>
    <row r="695" spans="1:6" ht="20.100000000000001" customHeight="1">
      <c r="A695" s="44">
        <v>692</v>
      </c>
      <c r="B695" s="44">
        <v>2017</v>
      </c>
      <c r="C695" s="41" t="s">
        <v>33</v>
      </c>
      <c r="D695" s="44" t="s">
        <v>635</v>
      </c>
      <c r="E695" s="44" t="s">
        <v>1619</v>
      </c>
      <c r="F695" s="50">
        <v>30.8</v>
      </c>
    </row>
    <row r="696" spans="1:6" ht="20.100000000000001" customHeight="1">
      <c r="A696" s="44">
        <v>693</v>
      </c>
      <c r="B696" s="44">
        <v>2017</v>
      </c>
      <c r="C696" s="41" t="s">
        <v>33</v>
      </c>
      <c r="D696" s="44" t="s">
        <v>636</v>
      </c>
      <c r="E696" s="44" t="s">
        <v>1620</v>
      </c>
      <c r="F696" s="50">
        <v>16</v>
      </c>
    </row>
    <row r="697" spans="1:6" ht="20.100000000000001" customHeight="1">
      <c r="A697" s="44">
        <v>694</v>
      </c>
      <c r="B697" s="44">
        <v>2017</v>
      </c>
      <c r="C697" s="41" t="s">
        <v>33</v>
      </c>
      <c r="D697" s="44" t="s">
        <v>637</v>
      </c>
      <c r="E697" s="44" t="s">
        <v>1621</v>
      </c>
      <c r="F697" s="50">
        <v>10</v>
      </c>
    </row>
    <row r="698" spans="1:6" ht="20.100000000000001" customHeight="1">
      <c r="A698" s="44">
        <v>695</v>
      </c>
      <c r="B698" s="44">
        <v>2017</v>
      </c>
      <c r="C698" s="41" t="s">
        <v>33</v>
      </c>
      <c r="D698" s="44" t="s">
        <v>1623</v>
      </c>
      <c r="E698" s="44" t="s">
        <v>1624</v>
      </c>
      <c r="F698" s="50">
        <v>7.4249999999999998</v>
      </c>
    </row>
    <row r="699" spans="1:6" ht="20.100000000000001" customHeight="1">
      <c r="A699" s="44">
        <v>696</v>
      </c>
      <c r="B699" s="44">
        <v>2017</v>
      </c>
      <c r="C699" s="41" t="s">
        <v>33</v>
      </c>
      <c r="D699" s="44" t="s">
        <v>638</v>
      </c>
      <c r="E699" s="44" t="s">
        <v>1622</v>
      </c>
      <c r="F699" s="50">
        <v>5.5</v>
      </c>
    </row>
    <row r="700" spans="1:6" ht="20.100000000000001" customHeight="1">
      <c r="A700" s="44">
        <v>697</v>
      </c>
      <c r="B700" s="44">
        <v>2017</v>
      </c>
      <c r="C700" s="41" t="s">
        <v>56</v>
      </c>
      <c r="D700" s="44" t="s">
        <v>640</v>
      </c>
      <c r="E700" s="44" t="s">
        <v>1752</v>
      </c>
      <c r="F700" s="50">
        <v>11.8</v>
      </c>
    </row>
    <row r="701" spans="1:6" ht="20.100000000000001" customHeight="1">
      <c r="A701" s="44">
        <v>698</v>
      </c>
      <c r="B701" s="44">
        <v>2017</v>
      </c>
      <c r="C701" s="41" t="s">
        <v>56</v>
      </c>
      <c r="D701" s="44" t="s">
        <v>639</v>
      </c>
      <c r="E701" s="44" t="s">
        <v>1751</v>
      </c>
      <c r="F701" s="50">
        <v>20</v>
      </c>
    </row>
    <row r="702" spans="1:6" ht="20.100000000000001" customHeight="1">
      <c r="A702" s="44">
        <v>699</v>
      </c>
      <c r="B702" s="44">
        <v>2017</v>
      </c>
      <c r="C702" s="41" t="s">
        <v>57</v>
      </c>
      <c r="D702" s="44" t="s">
        <v>641</v>
      </c>
      <c r="E702" s="44" t="s">
        <v>1113</v>
      </c>
      <c r="F702" s="50">
        <v>61</v>
      </c>
    </row>
    <row r="703" spans="1:6" ht="20.100000000000001" customHeight="1">
      <c r="A703" s="44">
        <v>700</v>
      </c>
      <c r="B703" s="44">
        <v>2017</v>
      </c>
      <c r="C703" s="41" t="s">
        <v>57</v>
      </c>
      <c r="D703" s="44" t="s">
        <v>642</v>
      </c>
      <c r="E703" s="44" t="s">
        <v>1117</v>
      </c>
      <c r="F703" s="50">
        <v>41.6</v>
      </c>
    </row>
    <row r="704" spans="1:6" ht="20.100000000000001" customHeight="1">
      <c r="A704" s="44">
        <v>701</v>
      </c>
      <c r="B704" s="44">
        <v>2017</v>
      </c>
      <c r="C704" s="41" t="s">
        <v>57</v>
      </c>
      <c r="D704" s="44" t="s">
        <v>643</v>
      </c>
      <c r="E704" s="44" t="s">
        <v>1134</v>
      </c>
      <c r="F704" s="50">
        <v>6</v>
      </c>
    </row>
    <row r="705" spans="1:6" s="53" customFormat="1" ht="20.100000000000001" customHeight="1">
      <c r="A705" s="44">
        <v>702</v>
      </c>
      <c r="B705" s="51">
        <v>2018</v>
      </c>
      <c r="C705" s="52" t="s">
        <v>2585</v>
      </c>
      <c r="D705" s="51" t="s">
        <v>646</v>
      </c>
      <c r="E705" s="51" t="s">
        <v>1069</v>
      </c>
      <c r="F705" s="90">
        <v>36</v>
      </c>
    </row>
    <row r="706" spans="1:6" ht="20.100000000000001" customHeight="1">
      <c r="A706" s="44">
        <v>703</v>
      </c>
      <c r="B706" s="45">
        <v>2018</v>
      </c>
      <c r="C706" s="47" t="s">
        <v>2485</v>
      </c>
      <c r="D706" s="45" t="s">
        <v>645</v>
      </c>
      <c r="E706" s="45" t="s">
        <v>1212</v>
      </c>
      <c r="F706" s="50">
        <v>140</v>
      </c>
    </row>
    <row r="707" spans="1:6" ht="20.100000000000001" customHeight="1">
      <c r="A707" s="44">
        <v>704</v>
      </c>
      <c r="B707" s="45">
        <v>2018</v>
      </c>
      <c r="C707" s="47" t="s">
        <v>573</v>
      </c>
      <c r="D707" s="45" t="s">
        <v>3001</v>
      </c>
      <c r="E707" s="45" t="s">
        <v>2012</v>
      </c>
      <c r="F707" s="50">
        <v>90.72</v>
      </c>
    </row>
    <row r="708" spans="1:6" ht="20.100000000000001" customHeight="1">
      <c r="A708" s="44">
        <v>705</v>
      </c>
      <c r="B708" s="45">
        <v>2018</v>
      </c>
      <c r="C708" s="47" t="s">
        <v>573</v>
      </c>
      <c r="D708" s="45" t="s">
        <v>3002</v>
      </c>
      <c r="E708" s="45" t="s">
        <v>2011</v>
      </c>
      <c r="F708" s="50">
        <v>60</v>
      </c>
    </row>
    <row r="709" spans="1:6" ht="20.100000000000001" customHeight="1">
      <c r="A709" s="44">
        <v>706</v>
      </c>
      <c r="B709" s="44">
        <v>2018</v>
      </c>
      <c r="C709" s="41" t="s">
        <v>119</v>
      </c>
      <c r="D709" s="44" t="s">
        <v>2467</v>
      </c>
      <c r="E709" s="44" t="s">
        <v>2468</v>
      </c>
      <c r="F709" s="50">
        <v>7.3</v>
      </c>
    </row>
    <row r="710" spans="1:6" ht="20.100000000000001" customHeight="1">
      <c r="A710" s="44">
        <v>707</v>
      </c>
      <c r="B710" s="44">
        <v>2018</v>
      </c>
      <c r="C710" s="41" t="s">
        <v>2474</v>
      </c>
      <c r="D710" s="44" t="s">
        <v>647</v>
      </c>
      <c r="E710" s="44" t="s">
        <v>1810</v>
      </c>
      <c r="F710" s="50">
        <v>20.16</v>
      </c>
    </row>
    <row r="711" spans="1:6" ht="20.100000000000001" customHeight="1">
      <c r="A711" s="44">
        <v>708</v>
      </c>
      <c r="B711" s="45">
        <v>2018</v>
      </c>
      <c r="C711" s="47" t="s">
        <v>649</v>
      </c>
      <c r="D711" s="45" t="s">
        <v>650</v>
      </c>
      <c r="E711" s="45" t="s">
        <v>1822</v>
      </c>
      <c r="F711" s="50">
        <v>43.2</v>
      </c>
    </row>
    <row r="712" spans="1:6" ht="20.100000000000001" customHeight="1">
      <c r="A712" s="44">
        <v>709</v>
      </c>
      <c r="B712" s="44">
        <v>2018</v>
      </c>
      <c r="C712" s="41" t="s">
        <v>2474</v>
      </c>
      <c r="D712" s="44" t="s">
        <v>648</v>
      </c>
      <c r="E712" s="44" t="s">
        <v>1811</v>
      </c>
      <c r="F712" s="50">
        <v>23</v>
      </c>
    </row>
    <row r="713" spans="1:6" ht="20.100000000000001" customHeight="1">
      <c r="A713" s="44">
        <v>710</v>
      </c>
      <c r="B713" s="45">
        <v>2018</v>
      </c>
      <c r="C713" s="47" t="s">
        <v>649</v>
      </c>
      <c r="D713" s="45" t="s">
        <v>2289</v>
      </c>
      <c r="E713" s="45" t="s">
        <v>1823</v>
      </c>
      <c r="F713" s="50">
        <v>21</v>
      </c>
    </row>
    <row r="714" spans="1:6" ht="20.100000000000001" customHeight="1">
      <c r="A714" s="44">
        <v>711</v>
      </c>
      <c r="B714" s="45">
        <v>2018</v>
      </c>
      <c r="C714" s="47" t="s">
        <v>649</v>
      </c>
      <c r="D714" s="45" t="s">
        <v>651</v>
      </c>
      <c r="E714" s="45" t="s">
        <v>1633</v>
      </c>
      <c r="F714" s="50">
        <v>41.4</v>
      </c>
    </row>
    <row r="715" spans="1:6" ht="20.100000000000001" customHeight="1">
      <c r="A715" s="44">
        <v>712</v>
      </c>
      <c r="B715" s="45">
        <v>2018</v>
      </c>
      <c r="C715" s="47" t="s">
        <v>652</v>
      </c>
      <c r="D715" s="45" t="s">
        <v>904</v>
      </c>
      <c r="E715" s="45" t="s">
        <v>1629</v>
      </c>
      <c r="F715" s="50">
        <v>3</v>
      </c>
    </row>
    <row r="716" spans="1:6" ht="20.100000000000001" customHeight="1">
      <c r="A716" s="44">
        <v>713</v>
      </c>
      <c r="B716" s="45">
        <v>2018</v>
      </c>
      <c r="C716" s="47" t="s">
        <v>652</v>
      </c>
      <c r="D716" s="45" t="s">
        <v>653</v>
      </c>
      <c r="E716" s="45" t="s">
        <v>1630</v>
      </c>
      <c r="F716" s="50">
        <v>3</v>
      </c>
    </row>
    <row r="717" spans="1:6" ht="20.100000000000001" customHeight="1">
      <c r="A717" s="44">
        <v>714</v>
      </c>
      <c r="B717" s="45">
        <v>2018</v>
      </c>
      <c r="C717" s="47" t="s">
        <v>652</v>
      </c>
      <c r="D717" s="45" t="s">
        <v>654</v>
      </c>
      <c r="E717" s="45" t="s">
        <v>1631</v>
      </c>
      <c r="F717" s="50">
        <v>3</v>
      </c>
    </row>
    <row r="718" spans="1:6" ht="20.100000000000001" customHeight="1">
      <c r="A718" s="44">
        <v>715</v>
      </c>
      <c r="B718" s="45">
        <v>2018</v>
      </c>
      <c r="C718" s="47" t="s">
        <v>652</v>
      </c>
      <c r="D718" s="45" t="s">
        <v>655</v>
      </c>
      <c r="E718" s="45" t="s">
        <v>1632</v>
      </c>
      <c r="F718" s="50">
        <v>3</v>
      </c>
    </row>
    <row r="719" spans="1:6" ht="20.100000000000001" customHeight="1">
      <c r="A719" s="44">
        <v>716</v>
      </c>
      <c r="B719" s="45">
        <v>2018</v>
      </c>
      <c r="C719" s="47" t="s">
        <v>38</v>
      </c>
      <c r="D719" s="45" t="s">
        <v>1625</v>
      </c>
      <c r="E719" s="45" t="s">
        <v>1626</v>
      </c>
      <c r="F719" s="50">
        <v>6</v>
      </c>
    </row>
    <row r="720" spans="1:6" ht="20.100000000000001" customHeight="1">
      <c r="A720" s="44">
        <v>717</v>
      </c>
      <c r="B720" s="45">
        <v>2018</v>
      </c>
      <c r="C720" s="47" t="s">
        <v>38</v>
      </c>
      <c r="D720" s="45" t="s">
        <v>1627</v>
      </c>
      <c r="E720" s="45" t="s">
        <v>2270</v>
      </c>
      <c r="F720" s="50">
        <v>3</v>
      </c>
    </row>
    <row r="721" spans="1:6" ht="20.100000000000001" customHeight="1">
      <c r="A721" s="44">
        <v>718</v>
      </c>
      <c r="B721" s="45">
        <v>2018</v>
      </c>
      <c r="C721" s="47" t="s">
        <v>38</v>
      </c>
      <c r="D721" s="45" t="s">
        <v>1628</v>
      </c>
      <c r="E721" s="45" t="s">
        <v>2271</v>
      </c>
      <c r="F721" s="50">
        <v>9</v>
      </c>
    </row>
    <row r="722" spans="1:6" ht="20.100000000000001" customHeight="1">
      <c r="A722" s="44">
        <v>719</v>
      </c>
      <c r="B722" s="44">
        <v>2018</v>
      </c>
      <c r="C722" s="41" t="s">
        <v>42</v>
      </c>
      <c r="D722" s="44" t="s">
        <v>1066</v>
      </c>
      <c r="E722" s="44" t="s">
        <v>1065</v>
      </c>
      <c r="F722" s="50">
        <v>30.24</v>
      </c>
    </row>
    <row r="723" spans="1:6" ht="20.100000000000001" customHeight="1">
      <c r="A723" s="44">
        <v>720</v>
      </c>
      <c r="B723" s="44">
        <v>2018</v>
      </c>
      <c r="C723" s="41" t="s">
        <v>42</v>
      </c>
      <c r="D723" s="44" t="s">
        <v>1064</v>
      </c>
      <c r="E723" s="44" t="s">
        <v>1065</v>
      </c>
      <c r="F723" s="50">
        <v>10.08</v>
      </c>
    </row>
    <row r="724" spans="1:6" ht="20.100000000000001" customHeight="1">
      <c r="A724" s="44">
        <v>721</v>
      </c>
      <c r="B724" s="44">
        <v>2018</v>
      </c>
      <c r="C724" s="41" t="s">
        <v>44</v>
      </c>
      <c r="D724" s="44" t="s">
        <v>2381</v>
      </c>
      <c r="E724" s="44" t="s">
        <v>1044</v>
      </c>
      <c r="F724" s="50">
        <v>12</v>
      </c>
    </row>
    <row r="725" spans="1:6" ht="20.100000000000001" customHeight="1">
      <c r="A725" s="44">
        <v>722</v>
      </c>
      <c r="B725" s="44">
        <v>2018</v>
      </c>
      <c r="C725" s="41" t="s">
        <v>44</v>
      </c>
      <c r="D725" s="44" t="s">
        <v>657</v>
      </c>
      <c r="E725" s="44" t="s">
        <v>1048</v>
      </c>
      <c r="F725" s="50">
        <v>35.700000000000003</v>
      </c>
    </row>
    <row r="726" spans="1:6" ht="20.100000000000001" customHeight="1">
      <c r="A726" s="44">
        <v>723</v>
      </c>
      <c r="B726" s="45">
        <v>2018</v>
      </c>
      <c r="C726" s="47" t="s">
        <v>2472</v>
      </c>
      <c r="D726" s="45" t="s">
        <v>658</v>
      </c>
      <c r="E726" s="45" t="s">
        <v>1633</v>
      </c>
      <c r="F726" s="50">
        <v>10</v>
      </c>
    </row>
    <row r="727" spans="1:6" ht="20.100000000000001" customHeight="1">
      <c r="A727" s="44">
        <v>724</v>
      </c>
      <c r="B727" s="45">
        <v>2018</v>
      </c>
      <c r="C727" s="47" t="s">
        <v>1002</v>
      </c>
      <c r="D727" s="45" t="s">
        <v>659</v>
      </c>
      <c r="E727" s="45" t="s">
        <v>1004</v>
      </c>
      <c r="F727" s="50">
        <v>6</v>
      </c>
    </row>
    <row r="728" spans="1:6" ht="20.100000000000001" customHeight="1">
      <c r="A728" s="44">
        <v>725</v>
      </c>
      <c r="B728" s="44">
        <v>2018</v>
      </c>
      <c r="C728" s="41" t="s">
        <v>1282</v>
      </c>
      <c r="D728" s="44" t="s">
        <v>2557</v>
      </c>
      <c r="E728" s="44" t="s">
        <v>1392</v>
      </c>
      <c r="F728" s="50">
        <v>10.08</v>
      </c>
    </row>
    <row r="729" spans="1:6" ht="20.100000000000001" customHeight="1">
      <c r="A729" s="44">
        <v>726</v>
      </c>
      <c r="B729" s="45">
        <v>2018</v>
      </c>
      <c r="C729" s="47" t="s">
        <v>1281</v>
      </c>
      <c r="D729" s="45" t="s">
        <v>2558</v>
      </c>
      <c r="E729" s="45" t="s">
        <v>2559</v>
      </c>
      <c r="F729" s="50">
        <v>6.12</v>
      </c>
    </row>
    <row r="730" spans="1:6" ht="20.100000000000001" customHeight="1">
      <c r="A730" s="44">
        <v>727</v>
      </c>
      <c r="B730" s="44">
        <v>2018</v>
      </c>
      <c r="C730" s="41" t="s">
        <v>1282</v>
      </c>
      <c r="D730" s="44" t="s">
        <v>665</v>
      </c>
      <c r="E730" s="44" t="s">
        <v>2036</v>
      </c>
      <c r="F730" s="50">
        <v>9.52</v>
      </c>
    </row>
    <row r="731" spans="1:6" ht="20.100000000000001" customHeight="1">
      <c r="A731" s="44">
        <v>728</v>
      </c>
      <c r="B731" s="44">
        <v>2018</v>
      </c>
      <c r="C731" s="41" t="s">
        <v>278</v>
      </c>
      <c r="D731" s="44" t="s">
        <v>661</v>
      </c>
      <c r="E731" s="44" t="s">
        <v>2560</v>
      </c>
      <c r="F731" s="50">
        <v>5</v>
      </c>
    </row>
    <row r="732" spans="1:6" ht="20.100000000000001" customHeight="1">
      <c r="A732" s="44">
        <v>729</v>
      </c>
      <c r="B732" s="44">
        <v>2018</v>
      </c>
      <c r="C732" s="41" t="s">
        <v>278</v>
      </c>
      <c r="D732" s="44" t="s">
        <v>660</v>
      </c>
      <c r="E732" s="44" t="s">
        <v>1391</v>
      </c>
      <c r="F732" s="50">
        <v>20</v>
      </c>
    </row>
    <row r="733" spans="1:6" ht="20.100000000000001" customHeight="1">
      <c r="A733" s="44">
        <v>730</v>
      </c>
      <c r="B733" s="45">
        <v>2018</v>
      </c>
      <c r="C733" s="47" t="s">
        <v>278</v>
      </c>
      <c r="D733" s="45" t="s">
        <v>662</v>
      </c>
      <c r="E733" s="45" t="s">
        <v>2561</v>
      </c>
      <c r="F733" s="50">
        <v>6</v>
      </c>
    </row>
    <row r="734" spans="1:6" ht="20.100000000000001" customHeight="1">
      <c r="A734" s="44">
        <v>731</v>
      </c>
      <c r="B734" s="44">
        <v>2018</v>
      </c>
      <c r="C734" s="41" t="s">
        <v>278</v>
      </c>
      <c r="D734" s="44" t="s">
        <v>663</v>
      </c>
      <c r="E734" s="44" t="s">
        <v>1393</v>
      </c>
      <c r="F734" s="50">
        <v>10</v>
      </c>
    </row>
    <row r="735" spans="1:6" ht="20.100000000000001" customHeight="1">
      <c r="A735" s="44">
        <v>732</v>
      </c>
      <c r="B735" s="45">
        <v>2018</v>
      </c>
      <c r="C735" s="47" t="s">
        <v>278</v>
      </c>
      <c r="D735" s="45" t="s">
        <v>667</v>
      </c>
      <c r="E735" s="45" t="s">
        <v>2562</v>
      </c>
      <c r="F735" s="50">
        <v>9</v>
      </c>
    </row>
    <row r="736" spans="1:6" s="59" customFormat="1" ht="20.100000000000001" customHeight="1">
      <c r="A736" s="44">
        <v>733</v>
      </c>
      <c r="B736" s="57">
        <v>2018</v>
      </c>
      <c r="C736" s="58" t="s">
        <v>278</v>
      </c>
      <c r="D736" s="57" t="s">
        <v>666</v>
      </c>
      <c r="E736" s="57" t="s">
        <v>2656</v>
      </c>
      <c r="F736" s="62">
        <v>9</v>
      </c>
    </row>
    <row r="737" spans="1:6" ht="20.100000000000001" customHeight="1">
      <c r="A737" s="44">
        <v>734</v>
      </c>
      <c r="B737" s="45">
        <v>2018</v>
      </c>
      <c r="C737" s="47" t="s">
        <v>1281</v>
      </c>
      <c r="D737" s="45" t="s">
        <v>664</v>
      </c>
      <c r="E737" s="45" t="s">
        <v>1394</v>
      </c>
      <c r="F737" s="50">
        <v>138.41</v>
      </c>
    </row>
    <row r="738" spans="1:6" ht="20.100000000000001" customHeight="1">
      <c r="A738" s="44">
        <v>735</v>
      </c>
      <c r="B738" s="44">
        <v>2018</v>
      </c>
      <c r="C738" s="41" t="s">
        <v>1282</v>
      </c>
      <c r="D738" s="44" t="s">
        <v>2563</v>
      </c>
      <c r="E738" s="44" t="s">
        <v>2564</v>
      </c>
      <c r="F738" s="50">
        <v>10</v>
      </c>
    </row>
    <row r="739" spans="1:6" ht="20.100000000000001" customHeight="1">
      <c r="A739" s="44">
        <v>736</v>
      </c>
      <c r="B739" s="44">
        <v>2018</v>
      </c>
      <c r="C739" s="41" t="s">
        <v>1282</v>
      </c>
      <c r="D739" s="44" t="s">
        <v>2565</v>
      </c>
      <c r="E739" s="44" t="s">
        <v>1395</v>
      </c>
      <c r="F739" s="50">
        <v>3</v>
      </c>
    </row>
    <row r="740" spans="1:6" ht="20.100000000000001" customHeight="1">
      <c r="A740" s="44">
        <v>737</v>
      </c>
      <c r="B740" s="44">
        <v>2018</v>
      </c>
      <c r="C740" s="41" t="s">
        <v>122</v>
      </c>
      <c r="D740" s="44" t="s">
        <v>2062</v>
      </c>
      <c r="E740" s="44" t="s">
        <v>1920</v>
      </c>
      <c r="F740" s="50">
        <v>98</v>
      </c>
    </row>
    <row r="741" spans="1:6" ht="20.100000000000001" customHeight="1">
      <c r="A741" s="44">
        <v>738</v>
      </c>
      <c r="B741" s="44">
        <v>2018</v>
      </c>
      <c r="C741" s="41" t="s">
        <v>122</v>
      </c>
      <c r="D741" s="44" t="s">
        <v>1962</v>
      </c>
      <c r="E741" s="44" t="s">
        <v>1920</v>
      </c>
      <c r="F741" s="50">
        <v>78</v>
      </c>
    </row>
    <row r="742" spans="1:6" ht="20.100000000000001" customHeight="1">
      <c r="A742" s="44">
        <v>739</v>
      </c>
      <c r="B742" s="44">
        <v>2018</v>
      </c>
      <c r="C742" s="41" t="s">
        <v>122</v>
      </c>
      <c r="D742" s="44" t="s">
        <v>1961</v>
      </c>
      <c r="E742" s="44" t="s">
        <v>1920</v>
      </c>
      <c r="F742" s="50">
        <v>118</v>
      </c>
    </row>
    <row r="743" spans="1:6" ht="20.100000000000001" customHeight="1">
      <c r="A743" s="44">
        <v>740</v>
      </c>
      <c r="B743" s="44">
        <v>2018</v>
      </c>
      <c r="C743" s="41" t="s">
        <v>47</v>
      </c>
      <c r="D743" s="44" t="s">
        <v>668</v>
      </c>
      <c r="E743" s="44" t="s">
        <v>1485</v>
      </c>
      <c r="F743" s="50">
        <v>18.09</v>
      </c>
    </row>
    <row r="744" spans="1:6" ht="20.100000000000001" customHeight="1">
      <c r="A744" s="44">
        <v>741</v>
      </c>
      <c r="B744" s="44">
        <v>2018</v>
      </c>
      <c r="C744" s="41" t="s">
        <v>7</v>
      </c>
      <c r="D744" s="44" t="s">
        <v>1814</v>
      </c>
      <c r="E744" s="44" t="s">
        <v>1361</v>
      </c>
      <c r="F744" s="50">
        <v>42</v>
      </c>
    </row>
    <row r="745" spans="1:6" ht="20.100000000000001" customHeight="1">
      <c r="A745" s="44">
        <v>742</v>
      </c>
      <c r="B745" s="44">
        <v>2018</v>
      </c>
      <c r="C745" s="41" t="s">
        <v>669</v>
      </c>
      <c r="D745" s="44" t="s">
        <v>895</v>
      </c>
      <c r="E745" s="44" t="s">
        <v>1185</v>
      </c>
      <c r="F745" s="50">
        <v>20.100000000000001</v>
      </c>
    </row>
    <row r="746" spans="1:6" ht="20.100000000000001" customHeight="1">
      <c r="A746" s="44">
        <v>743</v>
      </c>
      <c r="B746" s="44">
        <v>2018</v>
      </c>
      <c r="C746" s="41" t="s">
        <v>669</v>
      </c>
      <c r="D746" s="44" t="s">
        <v>670</v>
      </c>
      <c r="E746" s="44" t="s">
        <v>1185</v>
      </c>
      <c r="F746" s="50">
        <v>67.2</v>
      </c>
    </row>
    <row r="747" spans="1:6" ht="20.100000000000001" customHeight="1">
      <c r="A747" s="44">
        <v>744</v>
      </c>
      <c r="B747" s="44">
        <v>2018</v>
      </c>
      <c r="C747" s="41" t="s">
        <v>678</v>
      </c>
      <c r="D747" s="44" t="s">
        <v>679</v>
      </c>
      <c r="E747" s="44" t="s">
        <v>1396</v>
      </c>
      <c r="F747" s="50">
        <v>48.6</v>
      </c>
    </row>
    <row r="748" spans="1:6" ht="20.100000000000001" customHeight="1">
      <c r="A748" s="44">
        <v>745</v>
      </c>
      <c r="B748" s="45">
        <v>2018</v>
      </c>
      <c r="C748" s="47" t="s">
        <v>671</v>
      </c>
      <c r="D748" s="45" t="s">
        <v>672</v>
      </c>
      <c r="E748" s="45" t="s">
        <v>1215</v>
      </c>
      <c r="F748" s="50">
        <v>86</v>
      </c>
    </row>
    <row r="749" spans="1:6" ht="20.100000000000001" customHeight="1">
      <c r="A749" s="44">
        <v>746</v>
      </c>
      <c r="B749" s="45">
        <v>2018</v>
      </c>
      <c r="C749" s="47" t="s">
        <v>673</v>
      </c>
      <c r="D749" s="45" t="s">
        <v>674</v>
      </c>
      <c r="E749" s="45" t="s">
        <v>1217</v>
      </c>
      <c r="F749" s="50">
        <v>67</v>
      </c>
    </row>
    <row r="750" spans="1:6" ht="20.100000000000001" customHeight="1">
      <c r="A750" s="44">
        <v>747</v>
      </c>
      <c r="B750" s="45">
        <v>2018</v>
      </c>
      <c r="C750" s="47" t="s">
        <v>675</v>
      </c>
      <c r="D750" s="45" t="s">
        <v>676</v>
      </c>
      <c r="E750" s="45" t="s">
        <v>2593</v>
      </c>
      <c r="F750" s="50">
        <v>31</v>
      </c>
    </row>
    <row r="751" spans="1:6" ht="20.100000000000001" customHeight="1">
      <c r="A751" s="44">
        <v>748</v>
      </c>
      <c r="B751" s="45">
        <v>2018</v>
      </c>
      <c r="C751" s="47" t="s">
        <v>675</v>
      </c>
      <c r="D751" s="45" t="s">
        <v>677</v>
      </c>
      <c r="E751" s="45" t="s">
        <v>2594</v>
      </c>
      <c r="F751" s="50">
        <v>13</v>
      </c>
    </row>
    <row r="752" spans="1:6" ht="20.100000000000001" customHeight="1">
      <c r="A752" s="44">
        <v>749</v>
      </c>
      <c r="B752" s="45">
        <v>2018</v>
      </c>
      <c r="C752" s="47" t="s">
        <v>680</v>
      </c>
      <c r="D752" s="45" t="s">
        <v>681</v>
      </c>
      <c r="E752" s="45" t="s">
        <v>1803</v>
      </c>
      <c r="F752" s="50">
        <v>12</v>
      </c>
    </row>
    <row r="753" spans="1:6" ht="20.100000000000001" customHeight="1">
      <c r="A753" s="44">
        <v>750</v>
      </c>
      <c r="B753" s="45">
        <v>2018</v>
      </c>
      <c r="C753" s="47" t="s">
        <v>2589</v>
      </c>
      <c r="D753" s="45" t="s">
        <v>682</v>
      </c>
      <c r="E753" s="45" t="s">
        <v>1091</v>
      </c>
      <c r="F753" s="50">
        <v>15</v>
      </c>
    </row>
    <row r="754" spans="1:6" ht="20.100000000000001" customHeight="1">
      <c r="A754" s="44">
        <v>751</v>
      </c>
      <c r="B754" s="45">
        <v>2018</v>
      </c>
      <c r="C754" s="47" t="s">
        <v>2589</v>
      </c>
      <c r="D754" s="66" t="s">
        <v>2375</v>
      </c>
      <c r="E754" s="45" t="s">
        <v>1090</v>
      </c>
      <c r="F754" s="50">
        <v>5.4</v>
      </c>
    </row>
    <row r="755" spans="1:6" ht="20.100000000000001" customHeight="1">
      <c r="A755" s="44">
        <v>752</v>
      </c>
      <c r="B755" s="45">
        <v>2018</v>
      </c>
      <c r="C755" s="47" t="s">
        <v>2589</v>
      </c>
      <c r="D755" s="45" t="s">
        <v>683</v>
      </c>
      <c r="E755" s="45" t="s">
        <v>1086</v>
      </c>
      <c r="F755" s="50">
        <v>12.16</v>
      </c>
    </row>
    <row r="756" spans="1:6" ht="20.100000000000001" customHeight="1">
      <c r="A756" s="44">
        <v>753</v>
      </c>
      <c r="B756" s="45">
        <v>2018</v>
      </c>
      <c r="C756" s="47" t="s">
        <v>2589</v>
      </c>
      <c r="D756" s="45" t="s">
        <v>684</v>
      </c>
      <c r="E756" s="45" t="s">
        <v>1092</v>
      </c>
      <c r="F756" s="50">
        <v>5</v>
      </c>
    </row>
    <row r="757" spans="1:6" ht="20.100000000000001" customHeight="1">
      <c r="A757" s="44">
        <v>754</v>
      </c>
      <c r="B757" s="45">
        <v>2018</v>
      </c>
      <c r="C757" s="47" t="s">
        <v>58</v>
      </c>
      <c r="D757" s="45" t="s">
        <v>1057</v>
      </c>
      <c r="E757" s="45" t="s">
        <v>1056</v>
      </c>
      <c r="F757" s="50">
        <v>25</v>
      </c>
    </row>
    <row r="758" spans="1:6" ht="20.100000000000001" customHeight="1">
      <c r="A758" s="44">
        <v>755</v>
      </c>
      <c r="B758" s="44">
        <v>2018</v>
      </c>
      <c r="C758" s="41" t="s">
        <v>2398</v>
      </c>
      <c r="D758" s="44" t="s">
        <v>2397</v>
      </c>
      <c r="E758" s="44" t="s">
        <v>1032</v>
      </c>
      <c r="F758" s="50">
        <v>43</v>
      </c>
    </row>
    <row r="759" spans="1:6" ht="20.100000000000001" customHeight="1">
      <c r="A759" s="44">
        <v>756</v>
      </c>
      <c r="B759" s="44">
        <v>2018</v>
      </c>
      <c r="C759" s="41" t="s">
        <v>2396</v>
      </c>
      <c r="D759" s="44" t="s">
        <v>1029</v>
      </c>
      <c r="E759" s="44" t="s">
        <v>1030</v>
      </c>
      <c r="F759" s="50">
        <v>100</v>
      </c>
    </row>
    <row r="760" spans="1:6" ht="20.100000000000001" customHeight="1">
      <c r="A760" s="44">
        <v>757</v>
      </c>
      <c r="B760" s="45">
        <v>2018</v>
      </c>
      <c r="C760" s="47" t="s">
        <v>2586</v>
      </c>
      <c r="D760" s="45" t="s">
        <v>685</v>
      </c>
      <c r="E760" s="45" t="s">
        <v>1634</v>
      </c>
      <c r="F760" s="50">
        <v>10.4</v>
      </c>
    </row>
    <row r="761" spans="1:6" ht="20.100000000000001" customHeight="1">
      <c r="A761" s="44">
        <v>758</v>
      </c>
      <c r="B761" s="44">
        <v>2018</v>
      </c>
      <c r="C761" s="41" t="s">
        <v>686</v>
      </c>
      <c r="D761" s="44" t="s">
        <v>686</v>
      </c>
      <c r="E761" s="44" t="s">
        <v>1397</v>
      </c>
      <c r="F761" s="50">
        <v>131.19999999999999</v>
      </c>
    </row>
    <row r="762" spans="1:6" ht="20.100000000000001" customHeight="1">
      <c r="A762" s="44">
        <v>759</v>
      </c>
      <c r="B762" s="45">
        <v>2018</v>
      </c>
      <c r="C762" s="47" t="s">
        <v>687</v>
      </c>
      <c r="D762" s="45" t="s">
        <v>687</v>
      </c>
      <c r="E762" s="45" t="s">
        <v>1992</v>
      </c>
      <c r="F762" s="50">
        <v>45.36</v>
      </c>
    </row>
    <row r="763" spans="1:6" ht="20.100000000000001" customHeight="1">
      <c r="A763" s="44">
        <v>760</v>
      </c>
      <c r="B763" s="45">
        <v>2018</v>
      </c>
      <c r="C763" s="47" t="s">
        <v>12</v>
      </c>
      <c r="D763" s="45" t="s">
        <v>690</v>
      </c>
      <c r="E763" s="45" t="s">
        <v>1877</v>
      </c>
      <c r="F763" s="50">
        <v>25.5</v>
      </c>
    </row>
    <row r="764" spans="1:6" ht="20.100000000000001" customHeight="1">
      <c r="A764" s="44">
        <v>761</v>
      </c>
      <c r="B764" s="45">
        <v>2018</v>
      </c>
      <c r="C764" s="47" t="s">
        <v>12</v>
      </c>
      <c r="D764" s="45" t="s">
        <v>689</v>
      </c>
      <c r="E764" s="45" t="s">
        <v>1876</v>
      </c>
      <c r="F764" s="50">
        <v>20.399999999999999</v>
      </c>
    </row>
    <row r="765" spans="1:6" ht="20.100000000000001" customHeight="1">
      <c r="A765" s="44">
        <v>762</v>
      </c>
      <c r="B765" s="45">
        <v>2018</v>
      </c>
      <c r="C765" s="47" t="s">
        <v>12</v>
      </c>
      <c r="D765" s="45" t="s">
        <v>688</v>
      </c>
      <c r="E765" s="45" t="s">
        <v>1875</v>
      </c>
      <c r="F765" s="50">
        <v>20.399999999999999</v>
      </c>
    </row>
    <row r="766" spans="1:6" ht="20.100000000000001" customHeight="1">
      <c r="A766" s="44">
        <v>763</v>
      </c>
      <c r="B766" s="45">
        <v>2018</v>
      </c>
      <c r="C766" s="47" t="s">
        <v>12</v>
      </c>
      <c r="D766" s="45" t="s">
        <v>691</v>
      </c>
      <c r="E766" s="45" t="s">
        <v>1878</v>
      </c>
      <c r="F766" s="50">
        <v>30</v>
      </c>
    </row>
    <row r="767" spans="1:6" ht="20.100000000000001" customHeight="1">
      <c r="A767" s="44">
        <v>764</v>
      </c>
      <c r="B767" s="45">
        <v>2018</v>
      </c>
      <c r="C767" s="47" t="s">
        <v>12</v>
      </c>
      <c r="D767" s="45" t="s">
        <v>692</v>
      </c>
      <c r="E767" s="45" t="s">
        <v>1878</v>
      </c>
      <c r="F767" s="50">
        <v>50</v>
      </c>
    </row>
    <row r="768" spans="1:6" ht="20.100000000000001" customHeight="1">
      <c r="A768" s="44">
        <v>765</v>
      </c>
      <c r="B768" s="45">
        <v>2018</v>
      </c>
      <c r="C768" s="47" t="s">
        <v>12</v>
      </c>
      <c r="D768" s="45" t="s">
        <v>693</v>
      </c>
      <c r="E768" s="45" t="s">
        <v>1878</v>
      </c>
      <c r="F768" s="50">
        <v>140</v>
      </c>
    </row>
    <row r="769" spans="1:9" ht="20.100000000000001" customHeight="1">
      <c r="A769" s="44">
        <v>766</v>
      </c>
      <c r="B769" s="45">
        <v>2018</v>
      </c>
      <c r="C769" s="47" t="s">
        <v>12</v>
      </c>
      <c r="D769" s="45" t="s">
        <v>694</v>
      </c>
      <c r="E769" s="45" t="s">
        <v>1878</v>
      </c>
      <c r="F769" s="50">
        <v>20</v>
      </c>
    </row>
    <row r="770" spans="1:9" ht="20.100000000000001" customHeight="1">
      <c r="A770" s="44">
        <v>767</v>
      </c>
      <c r="B770" s="45">
        <v>2018</v>
      </c>
      <c r="C770" s="47" t="s">
        <v>12</v>
      </c>
      <c r="D770" s="45" t="s">
        <v>695</v>
      </c>
      <c r="E770" s="45" t="s">
        <v>1878</v>
      </c>
      <c r="F770" s="50">
        <v>30</v>
      </c>
    </row>
    <row r="771" spans="1:9" s="42" customFormat="1" ht="20.100000000000001" customHeight="1">
      <c r="A771" s="44">
        <v>768</v>
      </c>
      <c r="B771" s="44">
        <v>2018</v>
      </c>
      <c r="C771" s="41" t="s">
        <v>66</v>
      </c>
      <c r="D771" s="44" t="s">
        <v>1226</v>
      </c>
      <c r="E771" s="44" t="s">
        <v>1227</v>
      </c>
      <c r="F771" s="50">
        <v>56.32</v>
      </c>
      <c r="G771" s="46"/>
      <c r="H771" s="46"/>
      <c r="I771" s="46"/>
    </row>
    <row r="772" spans="1:9" ht="20.100000000000001" customHeight="1">
      <c r="A772" s="44">
        <v>769</v>
      </c>
      <c r="B772" s="45">
        <v>2018</v>
      </c>
      <c r="C772" s="47" t="s">
        <v>1233</v>
      </c>
      <c r="D772" s="45" t="s">
        <v>697</v>
      </c>
      <c r="E772" s="45" t="s">
        <v>1399</v>
      </c>
      <c r="F772" s="50">
        <v>85</v>
      </c>
    </row>
    <row r="773" spans="1:9" ht="20.100000000000001" customHeight="1">
      <c r="A773" s="44">
        <v>770</v>
      </c>
      <c r="B773" s="45">
        <v>2018</v>
      </c>
      <c r="C773" s="47" t="s">
        <v>1233</v>
      </c>
      <c r="D773" s="45" t="s">
        <v>702</v>
      </c>
      <c r="E773" s="45" t="s">
        <v>1405</v>
      </c>
      <c r="F773" s="50">
        <v>74.8</v>
      </c>
    </row>
    <row r="774" spans="1:9" ht="20.100000000000001" customHeight="1">
      <c r="A774" s="44">
        <v>771</v>
      </c>
      <c r="B774" s="45">
        <v>2018</v>
      </c>
      <c r="C774" s="47" t="s">
        <v>1233</v>
      </c>
      <c r="D774" s="45" t="s">
        <v>703</v>
      </c>
      <c r="E774" s="45" t="s">
        <v>1406</v>
      </c>
      <c r="F774" s="50">
        <v>75.48</v>
      </c>
    </row>
    <row r="775" spans="1:9" ht="20.100000000000001" customHeight="1">
      <c r="A775" s="44">
        <v>772</v>
      </c>
      <c r="B775" s="45">
        <v>2018</v>
      </c>
      <c r="C775" s="47" t="s">
        <v>1233</v>
      </c>
      <c r="D775" s="45" t="s">
        <v>1411</v>
      </c>
      <c r="E775" s="45" t="s">
        <v>1412</v>
      </c>
      <c r="F775" s="50">
        <v>36.72</v>
      </c>
    </row>
    <row r="776" spans="1:9" ht="20.100000000000001" customHeight="1">
      <c r="A776" s="44">
        <v>773</v>
      </c>
      <c r="B776" s="45">
        <v>2018</v>
      </c>
      <c r="C776" s="47" t="s">
        <v>1233</v>
      </c>
      <c r="D776" s="45" t="s">
        <v>705</v>
      </c>
      <c r="E776" s="45" t="s">
        <v>1408</v>
      </c>
      <c r="F776" s="50">
        <v>14.96</v>
      </c>
    </row>
    <row r="777" spans="1:9" ht="20.100000000000001" customHeight="1">
      <c r="A777" s="44">
        <v>774</v>
      </c>
      <c r="B777" s="45">
        <v>2018</v>
      </c>
      <c r="C777" s="47" t="s">
        <v>1233</v>
      </c>
      <c r="D777" s="45" t="s">
        <v>706</v>
      </c>
      <c r="E777" s="45" t="s">
        <v>1409</v>
      </c>
      <c r="F777" s="50">
        <v>14.96</v>
      </c>
    </row>
    <row r="778" spans="1:9" ht="20.100000000000001" customHeight="1">
      <c r="A778" s="44">
        <v>775</v>
      </c>
      <c r="B778" s="45">
        <v>2018</v>
      </c>
      <c r="C778" s="47" t="s">
        <v>1233</v>
      </c>
      <c r="D778" s="45" t="s">
        <v>698</v>
      </c>
      <c r="E778" s="45" t="s">
        <v>1400</v>
      </c>
      <c r="F778" s="50">
        <v>30.24</v>
      </c>
    </row>
    <row r="779" spans="1:9" ht="20.100000000000001" customHeight="1">
      <c r="A779" s="44">
        <v>776</v>
      </c>
      <c r="B779" s="45">
        <v>2018</v>
      </c>
      <c r="C779" s="47" t="s">
        <v>1233</v>
      </c>
      <c r="D779" s="45" t="s">
        <v>1455</v>
      </c>
      <c r="E779" s="45" t="s">
        <v>1401</v>
      </c>
      <c r="F779" s="50">
        <v>15.12</v>
      </c>
    </row>
    <row r="780" spans="1:9" ht="20.100000000000001" customHeight="1">
      <c r="A780" s="44">
        <v>777</v>
      </c>
      <c r="B780" s="45">
        <v>2018</v>
      </c>
      <c r="C780" s="47" t="s">
        <v>1233</v>
      </c>
      <c r="D780" s="45" t="s">
        <v>699</v>
      </c>
      <c r="E780" s="45" t="s">
        <v>1402</v>
      </c>
      <c r="F780" s="50">
        <v>30.24</v>
      </c>
    </row>
    <row r="781" spans="1:9" ht="20.100000000000001" customHeight="1">
      <c r="A781" s="44">
        <v>778</v>
      </c>
      <c r="B781" s="45">
        <v>2018</v>
      </c>
      <c r="C781" s="47" t="s">
        <v>1233</v>
      </c>
      <c r="D781" s="45" t="s">
        <v>700</v>
      </c>
      <c r="E781" s="45" t="s">
        <v>1403</v>
      </c>
      <c r="F781" s="50">
        <v>30.24</v>
      </c>
    </row>
    <row r="782" spans="1:9" ht="20.100000000000001" customHeight="1">
      <c r="A782" s="44">
        <v>779</v>
      </c>
      <c r="B782" s="45">
        <v>2018</v>
      </c>
      <c r="C782" s="47" t="s">
        <v>1233</v>
      </c>
      <c r="D782" s="45" t="s">
        <v>701</v>
      </c>
      <c r="E782" s="45" t="s">
        <v>1404</v>
      </c>
      <c r="F782" s="50">
        <v>20.16</v>
      </c>
    </row>
    <row r="783" spans="1:9" ht="20.100000000000001" customHeight="1">
      <c r="A783" s="44">
        <v>780</v>
      </c>
      <c r="B783" s="45">
        <v>2018</v>
      </c>
      <c r="C783" s="47" t="s">
        <v>2590</v>
      </c>
      <c r="D783" s="45" t="s">
        <v>656</v>
      </c>
      <c r="E783" s="45" t="s">
        <v>2379</v>
      </c>
      <c r="F783" s="50">
        <v>71</v>
      </c>
    </row>
    <row r="784" spans="1:9" ht="20.100000000000001" customHeight="1">
      <c r="A784" s="44">
        <v>781</v>
      </c>
      <c r="B784" s="45">
        <v>2018</v>
      </c>
      <c r="C784" s="47" t="s">
        <v>1233</v>
      </c>
      <c r="D784" s="45" t="s">
        <v>696</v>
      </c>
      <c r="E784" s="45" t="s">
        <v>1398</v>
      </c>
      <c r="F784" s="50">
        <v>50.4</v>
      </c>
    </row>
    <row r="785" spans="1:6" ht="20.100000000000001" customHeight="1">
      <c r="A785" s="44">
        <v>782</v>
      </c>
      <c r="B785" s="45">
        <v>2018</v>
      </c>
      <c r="C785" s="47" t="s">
        <v>1233</v>
      </c>
      <c r="D785" s="45" t="s">
        <v>1413</v>
      </c>
      <c r="E785" s="45" t="s">
        <v>1414</v>
      </c>
      <c r="F785" s="50">
        <v>20.16</v>
      </c>
    </row>
    <row r="786" spans="1:6" ht="20.100000000000001" customHeight="1">
      <c r="A786" s="44">
        <v>783</v>
      </c>
      <c r="B786" s="45">
        <v>2018</v>
      </c>
      <c r="C786" s="47" t="s">
        <v>1233</v>
      </c>
      <c r="D786" s="45" t="s">
        <v>707</v>
      </c>
      <c r="E786" s="45" t="s">
        <v>1410</v>
      </c>
      <c r="F786" s="50">
        <v>25.2</v>
      </c>
    </row>
    <row r="787" spans="1:6" ht="20.100000000000001" customHeight="1">
      <c r="A787" s="44">
        <v>784</v>
      </c>
      <c r="B787" s="45">
        <v>2018</v>
      </c>
      <c r="C787" s="47" t="s">
        <v>1233</v>
      </c>
      <c r="D787" s="45" t="s">
        <v>704</v>
      </c>
      <c r="E787" s="45" t="s">
        <v>1407</v>
      </c>
      <c r="F787" s="50">
        <v>17.68</v>
      </c>
    </row>
    <row r="788" spans="1:6" ht="20.100000000000001" customHeight="1">
      <c r="A788" s="44">
        <v>785</v>
      </c>
      <c r="B788" s="44">
        <v>2018</v>
      </c>
      <c r="C788" s="41" t="s">
        <v>75</v>
      </c>
      <c r="D788" s="44" t="s">
        <v>709</v>
      </c>
      <c r="E788" s="44" t="s">
        <v>1245</v>
      </c>
      <c r="F788" s="50">
        <v>4</v>
      </c>
    </row>
    <row r="789" spans="1:6" ht="20.100000000000001" customHeight="1">
      <c r="A789" s="44">
        <v>786</v>
      </c>
      <c r="B789" s="44">
        <v>2018</v>
      </c>
      <c r="C789" s="41" t="s">
        <v>75</v>
      </c>
      <c r="D789" s="44" t="s">
        <v>708</v>
      </c>
      <c r="E789" s="44" t="s">
        <v>1415</v>
      </c>
      <c r="F789" s="50">
        <v>97.92</v>
      </c>
    </row>
    <row r="790" spans="1:6" ht="20.100000000000001" customHeight="1">
      <c r="A790" s="44">
        <v>787</v>
      </c>
      <c r="B790" s="45">
        <v>2018</v>
      </c>
      <c r="C790" s="47" t="s">
        <v>76</v>
      </c>
      <c r="D790" s="45" t="s">
        <v>712</v>
      </c>
      <c r="E790" s="45" t="s">
        <v>993</v>
      </c>
      <c r="F790" s="50">
        <v>18.2</v>
      </c>
    </row>
    <row r="791" spans="1:6" ht="20.100000000000001" customHeight="1">
      <c r="A791" s="44">
        <v>788</v>
      </c>
      <c r="B791" s="45">
        <v>2018</v>
      </c>
      <c r="C791" s="47" t="s">
        <v>76</v>
      </c>
      <c r="D791" s="45" t="s">
        <v>710</v>
      </c>
      <c r="E791" s="45" t="s">
        <v>996</v>
      </c>
      <c r="F791" s="50">
        <v>3.46</v>
      </c>
    </row>
    <row r="792" spans="1:6" ht="20.100000000000001" customHeight="1">
      <c r="A792" s="44">
        <v>789</v>
      </c>
      <c r="B792" s="45">
        <v>2018</v>
      </c>
      <c r="C792" s="47" t="s">
        <v>76</v>
      </c>
      <c r="D792" s="45" t="s">
        <v>711</v>
      </c>
      <c r="E792" s="45" t="s">
        <v>990</v>
      </c>
      <c r="F792" s="50">
        <v>4</v>
      </c>
    </row>
    <row r="793" spans="1:6" ht="20.100000000000001" customHeight="1">
      <c r="A793" s="44">
        <v>790</v>
      </c>
      <c r="B793" s="45">
        <v>2018</v>
      </c>
      <c r="C793" s="47" t="s">
        <v>76</v>
      </c>
      <c r="D793" s="45" t="s">
        <v>713</v>
      </c>
      <c r="E793" s="45" t="s">
        <v>991</v>
      </c>
      <c r="F793" s="50">
        <v>4</v>
      </c>
    </row>
    <row r="794" spans="1:6" ht="20.100000000000001" customHeight="1">
      <c r="A794" s="44">
        <v>791</v>
      </c>
      <c r="B794" s="45">
        <v>2018</v>
      </c>
      <c r="C794" s="47" t="s">
        <v>76</v>
      </c>
      <c r="D794" s="45" t="s">
        <v>714</v>
      </c>
      <c r="E794" s="45" t="s">
        <v>997</v>
      </c>
      <c r="F794" s="50">
        <v>3.46</v>
      </c>
    </row>
    <row r="795" spans="1:6" ht="20.100000000000001" customHeight="1">
      <c r="A795" s="44">
        <v>792</v>
      </c>
      <c r="B795" s="45">
        <v>2018</v>
      </c>
      <c r="C795" s="47" t="s">
        <v>55</v>
      </c>
      <c r="D795" s="45" t="s">
        <v>2879</v>
      </c>
      <c r="E795" s="45" t="s">
        <v>1727</v>
      </c>
      <c r="F795" s="50">
        <v>12.54</v>
      </c>
    </row>
    <row r="796" spans="1:6" ht="20.100000000000001" customHeight="1">
      <c r="A796" s="44">
        <v>793</v>
      </c>
      <c r="B796" s="45">
        <v>2018</v>
      </c>
      <c r="C796" s="47" t="s">
        <v>8</v>
      </c>
      <c r="D796" s="45" t="s">
        <v>2788</v>
      </c>
      <c r="E796" s="45" t="s">
        <v>1416</v>
      </c>
      <c r="F796" s="50">
        <v>3</v>
      </c>
    </row>
    <row r="797" spans="1:6" ht="20.100000000000001" customHeight="1">
      <c r="A797" s="44">
        <v>794</v>
      </c>
      <c r="B797" s="45">
        <v>2018</v>
      </c>
      <c r="C797" s="47" t="s">
        <v>8</v>
      </c>
      <c r="D797" s="45" t="s">
        <v>715</v>
      </c>
      <c r="E797" s="45" t="s">
        <v>1417</v>
      </c>
      <c r="F797" s="50">
        <v>17.420000000000002</v>
      </c>
    </row>
    <row r="798" spans="1:6" ht="20.100000000000001" customHeight="1">
      <c r="A798" s="44">
        <v>795</v>
      </c>
      <c r="B798" s="45">
        <v>2018</v>
      </c>
      <c r="C798" s="47" t="s">
        <v>8</v>
      </c>
      <c r="D798" s="45" t="s">
        <v>716</v>
      </c>
      <c r="E798" s="45" t="s">
        <v>1418</v>
      </c>
      <c r="F798" s="50">
        <v>10.220000000000001</v>
      </c>
    </row>
    <row r="799" spans="1:6" ht="20.100000000000001" customHeight="1">
      <c r="A799" s="44">
        <v>796</v>
      </c>
      <c r="B799" s="45">
        <v>2018</v>
      </c>
      <c r="C799" s="47" t="s">
        <v>8</v>
      </c>
      <c r="D799" s="45" t="s">
        <v>717</v>
      </c>
      <c r="E799" s="45" t="s">
        <v>1419</v>
      </c>
      <c r="F799" s="50">
        <v>5.1100000000000003</v>
      </c>
    </row>
    <row r="800" spans="1:6" ht="20.100000000000001" customHeight="1">
      <c r="A800" s="44">
        <v>797</v>
      </c>
      <c r="B800" s="45">
        <v>2018</v>
      </c>
      <c r="C800" s="47" t="s">
        <v>8</v>
      </c>
      <c r="D800" s="45" t="s">
        <v>719</v>
      </c>
      <c r="E800" s="45" t="s">
        <v>1421</v>
      </c>
      <c r="F800" s="50">
        <v>5.2</v>
      </c>
    </row>
    <row r="801" spans="1:6" ht="20.100000000000001" customHeight="1">
      <c r="A801" s="44">
        <v>798</v>
      </c>
      <c r="B801" s="45">
        <v>2018</v>
      </c>
      <c r="C801" s="47" t="s">
        <v>8</v>
      </c>
      <c r="D801" s="45" t="s">
        <v>718</v>
      </c>
      <c r="E801" s="45" t="s">
        <v>1420</v>
      </c>
      <c r="F801" s="50">
        <v>30</v>
      </c>
    </row>
    <row r="802" spans="1:6" ht="20.100000000000001" customHeight="1">
      <c r="A802" s="44">
        <v>799</v>
      </c>
      <c r="B802" s="45">
        <v>2018</v>
      </c>
      <c r="C802" s="45" t="s">
        <v>2131</v>
      </c>
      <c r="D802" s="45" t="s">
        <v>2181</v>
      </c>
      <c r="E802" s="43" t="s">
        <v>2149</v>
      </c>
      <c r="F802" s="50">
        <v>27</v>
      </c>
    </row>
    <row r="803" spans="1:6" ht="20.100000000000001" customHeight="1">
      <c r="A803" s="44">
        <v>800</v>
      </c>
      <c r="B803" s="45">
        <v>2018</v>
      </c>
      <c r="C803" s="47" t="s">
        <v>23</v>
      </c>
      <c r="D803" s="45" t="s">
        <v>2382</v>
      </c>
      <c r="E803" s="45" t="s">
        <v>2811</v>
      </c>
      <c r="F803" s="50">
        <v>10</v>
      </c>
    </row>
    <row r="804" spans="1:6" ht="20.100000000000001" customHeight="1">
      <c r="A804" s="44">
        <v>801</v>
      </c>
      <c r="B804" s="44">
        <v>2018</v>
      </c>
      <c r="C804" s="41" t="s">
        <v>86</v>
      </c>
      <c r="D804" s="44" t="s">
        <v>720</v>
      </c>
      <c r="E804" s="44" t="s">
        <v>1966</v>
      </c>
      <c r="F804" s="50">
        <v>56</v>
      </c>
    </row>
    <row r="805" spans="1:6" ht="20.100000000000001" customHeight="1">
      <c r="A805" s="44">
        <v>802</v>
      </c>
      <c r="B805" s="44">
        <v>2018</v>
      </c>
      <c r="C805" s="41" t="s">
        <v>86</v>
      </c>
      <c r="D805" s="44" t="s">
        <v>2700</v>
      </c>
      <c r="E805" s="44" t="s">
        <v>1965</v>
      </c>
      <c r="F805" s="50">
        <v>9.36</v>
      </c>
    </row>
    <row r="806" spans="1:6" ht="20.100000000000001" customHeight="1">
      <c r="A806" s="44">
        <v>803</v>
      </c>
      <c r="B806" s="44">
        <v>2018</v>
      </c>
      <c r="C806" s="41" t="s">
        <v>86</v>
      </c>
      <c r="D806" s="44" t="s">
        <v>721</v>
      </c>
      <c r="E806" s="44" t="s">
        <v>1967</v>
      </c>
      <c r="F806" s="50">
        <v>30.24</v>
      </c>
    </row>
    <row r="807" spans="1:6" ht="20.100000000000001" customHeight="1">
      <c r="A807" s="44">
        <v>804</v>
      </c>
      <c r="B807" s="44">
        <v>2018</v>
      </c>
      <c r="C807" s="41" t="s">
        <v>86</v>
      </c>
      <c r="D807" s="44" t="s">
        <v>722</v>
      </c>
      <c r="E807" s="44" t="s">
        <v>1968</v>
      </c>
      <c r="F807" s="50">
        <v>10</v>
      </c>
    </row>
    <row r="808" spans="1:6" ht="20.100000000000001" customHeight="1">
      <c r="A808" s="44">
        <v>805</v>
      </c>
      <c r="B808" s="45">
        <v>2018</v>
      </c>
      <c r="C808" s="47" t="s">
        <v>88</v>
      </c>
      <c r="D808" s="45" t="s">
        <v>723</v>
      </c>
      <c r="E808" s="45" t="s">
        <v>1020</v>
      </c>
      <c r="F808" s="55">
        <v>25</v>
      </c>
    </row>
    <row r="809" spans="1:6" ht="20.100000000000001" customHeight="1">
      <c r="A809" s="44">
        <v>806</v>
      </c>
      <c r="B809" s="45">
        <v>2018</v>
      </c>
      <c r="C809" s="47" t="s">
        <v>88</v>
      </c>
      <c r="D809" s="45" t="s">
        <v>724</v>
      </c>
      <c r="E809" s="45" t="s">
        <v>1021</v>
      </c>
      <c r="F809" s="55">
        <v>9</v>
      </c>
    </row>
    <row r="810" spans="1:6" ht="20.100000000000001" customHeight="1">
      <c r="A810" s="44">
        <v>807</v>
      </c>
      <c r="B810" s="44">
        <v>2018</v>
      </c>
      <c r="C810" s="41" t="s">
        <v>14</v>
      </c>
      <c r="D810" s="44" t="s">
        <v>725</v>
      </c>
      <c r="E810" s="44" t="s">
        <v>1422</v>
      </c>
      <c r="F810" s="50">
        <v>3</v>
      </c>
    </row>
    <row r="811" spans="1:6" ht="20.100000000000001" customHeight="1">
      <c r="A811" s="44">
        <v>808</v>
      </c>
      <c r="B811" s="45">
        <v>2018</v>
      </c>
      <c r="C811" s="47" t="s">
        <v>43</v>
      </c>
      <c r="D811" s="45" t="s">
        <v>728</v>
      </c>
      <c r="E811" s="45" t="s">
        <v>1175</v>
      </c>
      <c r="F811" s="50">
        <v>36</v>
      </c>
    </row>
    <row r="812" spans="1:6" ht="20.100000000000001" customHeight="1">
      <c r="A812" s="44">
        <v>809</v>
      </c>
      <c r="B812" s="45">
        <v>2018</v>
      </c>
      <c r="C812" s="47" t="s">
        <v>43</v>
      </c>
      <c r="D812" s="45" t="s">
        <v>726</v>
      </c>
      <c r="E812" s="45" t="s">
        <v>1161</v>
      </c>
      <c r="F812" s="50">
        <v>6</v>
      </c>
    </row>
    <row r="813" spans="1:6" ht="20.100000000000001" customHeight="1">
      <c r="A813" s="44">
        <v>810</v>
      </c>
      <c r="B813" s="45">
        <v>2018</v>
      </c>
      <c r="C813" s="47" t="s">
        <v>43</v>
      </c>
      <c r="D813" s="45" t="s">
        <v>729</v>
      </c>
      <c r="E813" s="45" t="s">
        <v>1171</v>
      </c>
      <c r="F813" s="50">
        <v>6.4</v>
      </c>
    </row>
    <row r="814" spans="1:6" ht="20.100000000000001" customHeight="1">
      <c r="A814" s="44">
        <v>811</v>
      </c>
      <c r="B814" s="45">
        <v>2018</v>
      </c>
      <c r="C814" s="47" t="s">
        <v>43</v>
      </c>
      <c r="D814" s="45" t="s">
        <v>727</v>
      </c>
      <c r="E814" s="45" t="s">
        <v>1162</v>
      </c>
      <c r="F814" s="50">
        <v>15.33</v>
      </c>
    </row>
    <row r="815" spans="1:6" ht="20.100000000000001" customHeight="1">
      <c r="A815" s="44">
        <v>812</v>
      </c>
      <c r="B815" s="45">
        <v>2018</v>
      </c>
      <c r="C815" s="47" t="s">
        <v>43</v>
      </c>
      <c r="D815" s="45" t="s">
        <v>896</v>
      </c>
      <c r="E815" s="45" t="s">
        <v>1163</v>
      </c>
      <c r="F815" s="50">
        <v>21.9</v>
      </c>
    </row>
    <row r="816" spans="1:6" ht="20.100000000000001" customHeight="1">
      <c r="A816" s="44">
        <v>813</v>
      </c>
      <c r="B816" s="44">
        <v>2018</v>
      </c>
      <c r="C816" s="41" t="s">
        <v>2246</v>
      </c>
      <c r="D816" s="44" t="s">
        <v>1978</v>
      </c>
      <c r="E816" s="44" t="s">
        <v>1896</v>
      </c>
      <c r="F816" s="50">
        <v>20.440000000000001</v>
      </c>
    </row>
    <row r="817" spans="1:6" ht="20.100000000000001" customHeight="1">
      <c r="A817" s="44">
        <v>814</v>
      </c>
      <c r="B817" s="44">
        <v>2018</v>
      </c>
      <c r="C817" s="41" t="s">
        <v>26</v>
      </c>
      <c r="D817" s="44" t="s">
        <v>730</v>
      </c>
      <c r="E817" s="44" t="s">
        <v>1969</v>
      </c>
      <c r="F817" s="50">
        <v>146.47499999999999</v>
      </c>
    </row>
    <row r="818" spans="1:6" ht="20.100000000000001" customHeight="1">
      <c r="A818" s="44">
        <v>815</v>
      </c>
      <c r="B818" s="44">
        <v>2008</v>
      </c>
      <c r="C818" s="41" t="s">
        <v>26</v>
      </c>
      <c r="D818" s="44" t="s">
        <v>1979</v>
      </c>
      <c r="E818" s="44" t="s">
        <v>1883</v>
      </c>
      <c r="F818" s="50">
        <v>12</v>
      </c>
    </row>
    <row r="819" spans="1:6" ht="20.100000000000001" customHeight="1">
      <c r="A819" s="44">
        <v>816</v>
      </c>
      <c r="B819" s="44">
        <v>2018</v>
      </c>
      <c r="C819" s="41" t="s">
        <v>26</v>
      </c>
      <c r="D819" s="44" t="s">
        <v>736</v>
      </c>
      <c r="E819" s="44" t="s">
        <v>1975</v>
      </c>
      <c r="F819" s="50">
        <v>19.2</v>
      </c>
    </row>
    <row r="820" spans="1:6" ht="20.100000000000001" customHeight="1">
      <c r="A820" s="44">
        <v>817</v>
      </c>
      <c r="B820" s="44">
        <v>2018</v>
      </c>
      <c r="C820" s="41" t="s">
        <v>26</v>
      </c>
      <c r="D820" s="44" t="s">
        <v>731</v>
      </c>
      <c r="E820" s="44" t="s">
        <v>1970</v>
      </c>
      <c r="F820" s="50">
        <v>8.19</v>
      </c>
    </row>
    <row r="821" spans="1:6" ht="20.100000000000001" customHeight="1">
      <c r="A821" s="44">
        <v>818</v>
      </c>
      <c r="B821" s="44">
        <v>2018</v>
      </c>
      <c r="C821" s="41" t="s">
        <v>26</v>
      </c>
      <c r="D821" s="44" t="s">
        <v>2486</v>
      </c>
      <c r="E821" s="44" t="s">
        <v>1980</v>
      </c>
      <c r="F821" s="50">
        <v>19.04</v>
      </c>
    </row>
    <row r="822" spans="1:6" ht="20.100000000000001" customHeight="1">
      <c r="A822" s="44">
        <v>819</v>
      </c>
      <c r="B822" s="44">
        <v>2018</v>
      </c>
      <c r="C822" s="41" t="s">
        <v>26</v>
      </c>
      <c r="D822" s="44" t="s">
        <v>737</v>
      </c>
      <c r="E822" s="44" t="s">
        <v>1976</v>
      </c>
      <c r="F822" s="50">
        <v>25.55</v>
      </c>
    </row>
    <row r="823" spans="1:6" ht="20.100000000000001" customHeight="1">
      <c r="A823" s="44">
        <v>820</v>
      </c>
      <c r="B823" s="44">
        <v>2018</v>
      </c>
      <c r="C823" s="41" t="s">
        <v>26</v>
      </c>
      <c r="D823" s="44" t="s">
        <v>732</v>
      </c>
      <c r="E823" s="44" t="s">
        <v>1971</v>
      </c>
      <c r="F823" s="50">
        <v>15.33</v>
      </c>
    </row>
    <row r="824" spans="1:6" ht="20.100000000000001" customHeight="1">
      <c r="A824" s="44">
        <v>821</v>
      </c>
      <c r="B824" s="44">
        <v>2018</v>
      </c>
      <c r="C824" s="41" t="s">
        <v>26</v>
      </c>
      <c r="D824" s="44" t="s">
        <v>733</v>
      </c>
      <c r="E824" s="44" t="s">
        <v>1972</v>
      </c>
      <c r="F824" s="50">
        <v>30.66</v>
      </c>
    </row>
    <row r="825" spans="1:6" ht="20.100000000000001" customHeight="1">
      <c r="A825" s="44">
        <v>822</v>
      </c>
      <c r="B825" s="44">
        <v>2018</v>
      </c>
      <c r="C825" s="41" t="s">
        <v>26</v>
      </c>
      <c r="D825" s="44" t="s">
        <v>734</v>
      </c>
      <c r="E825" s="44" t="s">
        <v>1973</v>
      </c>
      <c r="F825" s="50">
        <v>26.295999999999999</v>
      </c>
    </row>
    <row r="826" spans="1:6" ht="20.100000000000001" customHeight="1">
      <c r="A826" s="44">
        <v>823</v>
      </c>
      <c r="B826" s="44">
        <v>2018</v>
      </c>
      <c r="C826" s="41" t="s">
        <v>26</v>
      </c>
      <c r="D826" s="44" t="s">
        <v>735</v>
      </c>
      <c r="E826" s="44" t="s">
        <v>1974</v>
      </c>
      <c r="F826" s="50">
        <v>2.92</v>
      </c>
    </row>
    <row r="827" spans="1:6" ht="20.100000000000001" customHeight="1">
      <c r="A827" s="44">
        <v>824</v>
      </c>
      <c r="B827" s="44">
        <v>2018</v>
      </c>
      <c r="C827" s="41" t="s">
        <v>26</v>
      </c>
      <c r="D827" s="44" t="s">
        <v>738</v>
      </c>
      <c r="E827" s="44" t="s">
        <v>1977</v>
      </c>
      <c r="F827" s="50">
        <v>2.92</v>
      </c>
    </row>
    <row r="828" spans="1:6" ht="20.100000000000001" customHeight="1">
      <c r="A828" s="44">
        <v>825</v>
      </c>
      <c r="B828" s="44">
        <v>2018</v>
      </c>
      <c r="C828" s="41" t="s">
        <v>1491</v>
      </c>
      <c r="D828" s="44" t="s">
        <v>741</v>
      </c>
      <c r="E828" s="44" t="s">
        <v>1637</v>
      </c>
      <c r="F828" s="50">
        <v>42.8</v>
      </c>
    </row>
    <row r="829" spans="1:6" ht="20.100000000000001" customHeight="1">
      <c r="A829" s="44">
        <v>826</v>
      </c>
      <c r="B829" s="44">
        <v>2018</v>
      </c>
      <c r="C829" s="41" t="s">
        <v>70</v>
      </c>
      <c r="D829" s="44" t="s">
        <v>742</v>
      </c>
      <c r="E829" s="44" t="s">
        <v>1638</v>
      </c>
      <c r="F829" s="50">
        <v>6.3</v>
      </c>
    </row>
    <row r="830" spans="1:6" ht="20.100000000000001" customHeight="1">
      <c r="A830" s="44">
        <v>827</v>
      </c>
      <c r="B830" s="44">
        <v>2018</v>
      </c>
      <c r="C830" s="41" t="s">
        <v>1491</v>
      </c>
      <c r="D830" s="44" t="s">
        <v>743</v>
      </c>
      <c r="E830" s="44" t="s">
        <v>1639</v>
      </c>
      <c r="F830" s="50">
        <v>10.4</v>
      </c>
    </row>
    <row r="831" spans="1:6" ht="20.100000000000001" customHeight="1">
      <c r="A831" s="44">
        <v>828</v>
      </c>
      <c r="B831" s="44">
        <v>2018</v>
      </c>
      <c r="C831" s="41" t="s">
        <v>1491</v>
      </c>
      <c r="D831" s="44" t="s">
        <v>744</v>
      </c>
      <c r="E831" s="44" t="s">
        <v>1640</v>
      </c>
      <c r="F831" s="50">
        <v>10.4</v>
      </c>
    </row>
    <row r="832" spans="1:6" ht="20.100000000000001" customHeight="1">
      <c r="A832" s="44">
        <v>829</v>
      </c>
      <c r="B832" s="44">
        <v>2018</v>
      </c>
      <c r="C832" s="41" t="s">
        <v>70</v>
      </c>
      <c r="D832" s="44" t="s">
        <v>740</v>
      </c>
      <c r="E832" s="44" t="s">
        <v>1636</v>
      </c>
      <c r="F832" s="50">
        <v>6</v>
      </c>
    </row>
    <row r="833" spans="1:6" ht="20.100000000000001" customHeight="1">
      <c r="A833" s="44">
        <v>830</v>
      </c>
      <c r="B833" s="44">
        <v>2018</v>
      </c>
      <c r="C833" s="41" t="s">
        <v>70</v>
      </c>
      <c r="D833" s="44" t="s">
        <v>747</v>
      </c>
      <c r="E833" s="44" t="s">
        <v>1643</v>
      </c>
      <c r="F833" s="50">
        <v>0.9</v>
      </c>
    </row>
    <row r="834" spans="1:6" ht="20.100000000000001" customHeight="1">
      <c r="A834" s="44">
        <v>831</v>
      </c>
      <c r="B834" s="44">
        <v>2018</v>
      </c>
      <c r="C834" s="41" t="s">
        <v>70</v>
      </c>
      <c r="D834" s="44" t="s">
        <v>745</v>
      </c>
      <c r="E834" s="44" t="s">
        <v>1641</v>
      </c>
      <c r="F834" s="50">
        <v>3</v>
      </c>
    </row>
    <row r="835" spans="1:6" ht="20.100000000000001" customHeight="1">
      <c r="A835" s="44">
        <v>832</v>
      </c>
      <c r="B835" s="44">
        <v>2018</v>
      </c>
      <c r="C835" s="41" t="s">
        <v>70</v>
      </c>
      <c r="D835" s="44" t="s">
        <v>746</v>
      </c>
      <c r="E835" s="44" t="s">
        <v>1642</v>
      </c>
      <c r="F835" s="50">
        <v>4.2</v>
      </c>
    </row>
    <row r="836" spans="1:6" ht="20.100000000000001" customHeight="1">
      <c r="A836" s="44">
        <v>833</v>
      </c>
      <c r="B836" s="44">
        <v>2018</v>
      </c>
      <c r="C836" s="41" t="s">
        <v>1491</v>
      </c>
      <c r="D836" s="44" t="s">
        <v>739</v>
      </c>
      <c r="E836" s="44" t="s">
        <v>1635</v>
      </c>
      <c r="F836" s="50">
        <v>19</v>
      </c>
    </row>
    <row r="837" spans="1:6" ht="20.100000000000001" customHeight="1">
      <c r="A837" s="44">
        <v>834</v>
      </c>
      <c r="B837" s="45">
        <v>2018</v>
      </c>
      <c r="C837" s="47" t="s">
        <v>2258</v>
      </c>
      <c r="D837" s="45" t="s">
        <v>748</v>
      </c>
      <c r="E837" s="45" t="s">
        <v>953</v>
      </c>
      <c r="F837" s="50">
        <v>2.4</v>
      </c>
    </row>
    <row r="838" spans="1:6" ht="20.100000000000001" customHeight="1">
      <c r="A838" s="44">
        <v>835</v>
      </c>
      <c r="B838" s="45">
        <v>2018</v>
      </c>
      <c r="C838" s="47" t="s">
        <v>13</v>
      </c>
      <c r="D838" s="45" t="s">
        <v>749</v>
      </c>
      <c r="E838" s="45" t="s">
        <v>949</v>
      </c>
      <c r="F838" s="50">
        <v>3</v>
      </c>
    </row>
    <row r="839" spans="1:6" ht="20.100000000000001" customHeight="1">
      <c r="A839" s="44">
        <v>836</v>
      </c>
      <c r="B839" s="45">
        <v>2018</v>
      </c>
      <c r="C839" s="47" t="s">
        <v>13</v>
      </c>
      <c r="D839" s="45" t="s">
        <v>750</v>
      </c>
      <c r="E839" s="45" t="s">
        <v>941</v>
      </c>
      <c r="F839" s="50">
        <v>20.16</v>
      </c>
    </row>
    <row r="840" spans="1:6" ht="20.100000000000001" customHeight="1">
      <c r="A840" s="44">
        <v>837</v>
      </c>
      <c r="B840" s="45">
        <v>2018</v>
      </c>
      <c r="C840" s="47" t="s">
        <v>13</v>
      </c>
      <c r="D840" s="45" t="s">
        <v>751</v>
      </c>
      <c r="E840" s="45" t="s">
        <v>968</v>
      </c>
      <c r="F840" s="50">
        <v>20.16</v>
      </c>
    </row>
    <row r="841" spans="1:6" ht="20.100000000000001" customHeight="1">
      <c r="A841" s="44">
        <v>838</v>
      </c>
      <c r="B841" s="45">
        <v>2018</v>
      </c>
      <c r="C841" s="47" t="s">
        <v>13</v>
      </c>
      <c r="D841" s="45" t="s">
        <v>962</v>
      </c>
      <c r="E841" s="45" t="s">
        <v>963</v>
      </c>
      <c r="F841" s="50">
        <v>5</v>
      </c>
    </row>
    <row r="842" spans="1:6" ht="20.100000000000001" customHeight="1">
      <c r="A842" s="44">
        <v>839</v>
      </c>
      <c r="B842" s="45">
        <v>2018</v>
      </c>
      <c r="C842" s="47" t="s">
        <v>19</v>
      </c>
      <c r="D842" s="51" t="s">
        <v>2506</v>
      </c>
      <c r="E842" s="45" t="s">
        <v>1423</v>
      </c>
      <c r="F842" s="50">
        <v>5.5</v>
      </c>
    </row>
    <row r="843" spans="1:6" ht="20.100000000000001" customHeight="1">
      <c r="A843" s="44">
        <v>840</v>
      </c>
      <c r="B843" s="45">
        <v>2018</v>
      </c>
      <c r="C843" s="47" t="s">
        <v>16</v>
      </c>
      <c r="D843" s="45" t="s">
        <v>753</v>
      </c>
      <c r="E843" s="45" t="s">
        <v>1832</v>
      </c>
      <c r="F843" s="50">
        <v>51.75</v>
      </c>
    </row>
    <row r="844" spans="1:6" ht="20.100000000000001" customHeight="1">
      <c r="A844" s="44">
        <v>841</v>
      </c>
      <c r="B844" s="45">
        <v>2018</v>
      </c>
      <c r="C844" s="47" t="s">
        <v>16</v>
      </c>
      <c r="D844" s="45" t="s">
        <v>752</v>
      </c>
      <c r="E844" s="45" t="s">
        <v>1981</v>
      </c>
      <c r="F844" s="50">
        <v>5</v>
      </c>
    </row>
    <row r="845" spans="1:6" ht="20.100000000000001" customHeight="1">
      <c r="A845" s="44">
        <v>842</v>
      </c>
      <c r="B845" s="45">
        <v>2018</v>
      </c>
      <c r="C845" s="47" t="s">
        <v>64</v>
      </c>
      <c r="D845" s="45" t="s">
        <v>754</v>
      </c>
      <c r="E845" s="45" t="s">
        <v>1793</v>
      </c>
      <c r="F845" s="50">
        <v>30</v>
      </c>
    </row>
    <row r="846" spans="1:6" ht="20.100000000000001" customHeight="1">
      <c r="A846" s="44">
        <v>843</v>
      </c>
      <c r="B846" s="45">
        <v>2018</v>
      </c>
      <c r="C846" s="47" t="s">
        <v>37</v>
      </c>
      <c r="D846" s="45" t="s">
        <v>755</v>
      </c>
      <c r="E846" s="45" t="s">
        <v>1207</v>
      </c>
      <c r="F846" s="56">
        <v>3</v>
      </c>
    </row>
    <row r="847" spans="1:6" ht="20.100000000000001" customHeight="1">
      <c r="A847" s="44">
        <v>844</v>
      </c>
      <c r="B847" s="45">
        <v>2018</v>
      </c>
      <c r="C847" s="47" t="s">
        <v>37</v>
      </c>
      <c r="D847" s="45" t="s">
        <v>756</v>
      </c>
      <c r="E847" s="45" t="s">
        <v>1208</v>
      </c>
      <c r="F847" s="56">
        <v>60.48</v>
      </c>
    </row>
    <row r="848" spans="1:6" ht="20.100000000000001" customHeight="1">
      <c r="A848" s="44">
        <v>845</v>
      </c>
      <c r="B848" s="45">
        <v>2018</v>
      </c>
      <c r="C848" s="47" t="s">
        <v>37</v>
      </c>
      <c r="D848" s="45" t="s">
        <v>757</v>
      </c>
      <c r="E848" s="45" t="s">
        <v>1209</v>
      </c>
      <c r="F848" s="56">
        <v>5</v>
      </c>
    </row>
    <row r="849" spans="1:6" ht="20.100000000000001" customHeight="1">
      <c r="A849" s="44">
        <v>846</v>
      </c>
      <c r="B849" s="44">
        <v>2018</v>
      </c>
      <c r="C849" s="44" t="s">
        <v>29</v>
      </c>
      <c r="D849" s="44" t="s">
        <v>759</v>
      </c>
      <c r="E849" s="44" t="s">
        <v>1647</v>
      </c>
      <c r="F849" s="50">
        <v>16</v>
      </c>
    </row>
    <row r="850" spans="1:6" ht="20.100000000000001" customHeight="1">
      <c r="A850" s="44">
        <v>847</v>
      </c>
      <c r="B850" s="44">
        <v>2018</v>
      </c>
      <c r="C850" s="44" t="s">
        <v>29</v>
      </c>
      <c r="D850" s="44" t="s">
        <v>758</v>
      </c>
      <c r="E850" s="44" t="s">
        <v>1644</v>
      </c>
      <c r="F850" s="50">
        <v>13.26</v>
      </c>
    </row>
    <row r="851" spans="1:6" ht="20.100000000000001" customHeight="1">
      <c r="A851" s="44">
        <v>848</v>
      </c>
      <c r="B851" s="44">
        <v>2018</v>
      </c>
      <c r="C851" s="44" t="s">
        <v>29</v>
      </c>
      <c r="D851" s="44" t="s">
        <v>1645</v>
      </c>
      <c r="E851" s="44" t="s">
        <v>1646</v>
      </c>
      <c r="F851" s="50">
        <v>11.2</v>
      </c>
    </row>
    <row r="852" spans="1:6" ht="20.100000000000001" customHeight="1">
      <c r="A852" s="44">
        <v>849</v>
      </c>
      <c r="B852" s="44">
        <v>2018</v>
      </c>
      <c r="C852" s="41" t="s">
        <v>104</v>
      </c>
      <c r="D852" s="45" t="s">
        <v>2671</v>
      </c>
      <c r="E852" s="44" t="s">
        <v>1651</v>
      </c>
      <c r="F852" s="50">
        <v>6</v>
      </c>
    </row>
    <row r="853" spans="1:6" ht="20.100000000000001" customHeight="1">
      <c r="A853" s="44">
        <v>850</v>
      </c>
      <c r="B853" s="44">
        <v>2018</v>
      </c>
      <c r="C853" s="41" t="s">
        <v>104</v>
      </c>
      <c r="D853" s="44" t="s">
        <v>763</v>
      </c>
      <c r="E853" s="44" t="s">
        <v>1652</v>
      </c>
      <c r="F853" s="50">
        <v>20</v>
      </c>
    </row>
    <row r="854" spans="1:6" ht="20.100000000000001" customHeight="1">
      <c r="A854" s="44">
        <v>851</v>
      </c>
      <c r="B854" s="44">
        <v>2018</v>
      </c>
      <c r="C854" s="41" t="s">
        <v>104</v>
      </c>
      <c r="D854" s="44" t="s">
        <v>762</v>
      </c>
      <c r="E854" s="44" t="s">
        <v>1650</v>
      </c>
      <c r="F854" s="50">
        <v>8.4</v>
      </c>
    </row>
    <row r="855" spans="1:6" ht="20.100000000000001" customHeight="1">
      <c r="A855" s="44">
        <v>852</v>
      </c>
      <c r="B855" s="44">
        <v>2018</v>
      </c>
      <c r="C855" s="41" t="s">
        <v>104</v>
      </c>
      <c r="D855" s="44" t="s">
        <v>760</v>
      </c>
      <c r="E855" s="44" t="s">
        <v>1648</v>
      </c>
      <c r="F855" s="50">
        <v>8.14</v>
      </c>
    </row>
    <row r="856" spans="1:6" ht="20.100000000000001" customHeight="1">
      <c r="A856" s="44">
        <v>853</v>
      </c>
      <c r="B856" s="44">
        <v>2018</v>
      </c>
      <c r="C856" s="41" t="s">
        <v>104</v>
      </c>
      <c r="D856" s="44" t="s">
        <v>761</v>
      </c>
      <c r="E856" s="44" t="s">
        <v>1649</v>
      </c>
      <c r="F856" s="50">
        <v>6</v>
      </c>
    </row>
    <row r="857" spans="1:6" ht="20.100000000000001" customHeight="1">
      <c r="A857" s="44">
        <v>854</v>
      </c>
      <c r="B857" s="44">
        <v>2018</v>
      </c>
      <c r="C857" s="41" t="s">
        <v>31</v>
      </c>
      <c r="D857" s="44" t="s">
        <v>767</v>
      </c>
      <c r="E857" s="44" t="s">
        <v>1708</v>
      </c>
      <c r="F857" s="50">
        <v>61.2</v>
      </c>
    </row>
    <row r="858" spans="1:6" ht="20.100000000000001" customHeight="1">
      <c r="A858" s="44">
        <v>855</v>
      </c>
      <c r="B858" s="44">
        <v>2018</v>
      </c>
      <c r="C858" s="41" t="s">
        <v>31</v>
      </c>
      <c r="D858" s="44" t="s">
        <v>768</v>
      </c>
      <c r="E858" s="44" t="s">
        <v>1709</v>
      </c>
      <c r="F858" s="50">
        <v>20.16</v>
      </c>
    </row>
    <row r="859" spans="1:6" ht="20.100000000000001" customHeight="1">
      <c r="A859" s="44">
        <v>856</v>
      </c>
      <c r="B859" s="44">
        <v>2018</v>
      </c>
      <c r="C859" s="41" t="s">
        <v>31</v>
      </c>
      <c r="D859" s="44" t="s">
        <v>1712</v>
      </c>
      <c r="E859" s="44" t="s">
        <v>1713</v>
      </c>
      <c r="F859" s="50">
        <v>3</v>
      </c>
    </row>
    <row r="860" spans="1:6" ht="20.100000000000001" customHeight="1">
      <c r="A860" s="44">
        <v>857</v>
      </c>
      <c r="B860" s="44">
        <v>2018</v>
      </c>
      <c r="C860" s="41" t="s">
        <v>31</v>
      </c>
      <c r="D860" s="44" t="s">
        <v>765</v>
      </c>
      <c r="E860" s="44" t="s">
        <v>1706</v>
      </c>
      <c r="F860" s="50">
        <v>5.2</v>
      </c>
    </row>
    <row r="861" spans="1:6" ht="20.100000000000001" customHeight="1">
      <c r="A861" s="44">
        <v>858</v>
      </c>
      <c r="B861" s="44">
        <v>2018</v>
      </c>
      <c r="C861" s="41" t="s">
        <v>31</v>
      </c>
      <c r="D861" s="44" t="s">
        <v>766</v>
      </c>
      <c r="E861" s="44" t="s">
        <v>1707</v>
      </c>
      <c r="F861" s="50">
        <v>25.875</v>
      </c>
    </row>
    <row r="862" spans="1:6" ht="20.100000000000001" customHeight="1">
      <c r="A862" s="44">
        <v>859</v>
      </c>
      <c r="B862" s="44">
        <v>2018</v>
      </c>
      <c r="C862" s="41" t="s">
        <v>31</v>
      </c>
      <c r="D862" s="44" t="s">
        <v>764</v>
      </c>
      <c r="E862" s="44" t="s">
        <v>1705</v>
      </c>
      <c r="F862" s="50">
        <v>32.4</v>
      </c>
    </row>
    <row r="863" spans="1:6" ht="20.100000000000001" customHeight="1">
      <c r="A863" s="44">
        <v>860</v>
      </c>
      <c r="B863" s="44">
        <v>2018</v>
      </c>
      <c r="C863" s="41" t="s">
        <v>31</v>
      </c>
      <c r="D863" s="44" t="s">
        <v>770</v>
      </c>
      <c r="E863" s="44" t="s">
        <v>1711</v>
      </c>
      <c r="F863" s="50">
        <v>15</v>
      </c>
    </row>
    <row r="864" spans="1:6" ht="20.100000000000001" customHeight="1">
      <c r="A864" s="44">
        <v>861</v>
      </c>
      <c r="B864" s="44">
        <v>2018</v>
      </c>
      <c r="C864" s="41" t="s">
        <v>31</v>
      </c>
      <c r="D864" s="44" t="s">
        <v>1714</v>
      </c>
      <c r="E864" s="44" t="s">
        <v>1715</v>
      </c>
      <c r="F864" s="50">
        <v>15</v>
      </c>
    </row>
    <row r="865" spans="1:6" ht="20.100000000000001" customHeight="1">
      <c r="A865" s="44">
        <v>862</v>
      </c>
      <c r="B865" s="44">
        <v>2018</v>
      </c>
      <c r="C865" s="41" t="s">
        <v>31</v>
      </c>
      <c r="D865" s="44" t="s">
        <v>769</v>
      </c>
      <c r="E865" s="44" t="s">
        <v>1710</v>
      </c>
      <c r="F865" s="50">
        <v>12</v>
      </c>
    </row>
    <row r="866" spans="1:6" ht="20.100000000000001" customHeight="1">
      <c r="A866" s="44">
        <v>863</v>
      </c>
      <c r="B866" s="45">
        <v>2018</v>
      </c>
      <c r="C866" s="47" t="s">
        <v>34</v>
      </c>
      <c r="D866" s="45" t="s">
        <v>910</v>
      </c>
      <c r="E866" s="45" t="s">
        <v>1982</v>
      </c>
      <c r="F866" s="50">
        <v>6</v>
      </c>
    </row>
    <row r="867" spans="1:6" ht="20.100000000000001" customHeight="1">
      <c r="A867" s="44">
        <v>864</v>
      </c>
      <c r="B867" s="45">
        <v>2018</v>
      </c>
      <c r="C867" s="47" t="s">
        <v>34</v>
      </c>
      <c r="D867" s="45" t="s">
        <v>771</v>
      </c>
      <c r="E867" s="45" t="s">
        <v>1983</v>
      </c>
      <c r="F867" s="50">
        <v>80.64</v>
      </c>
    </row>
    <row r="868" spans="1:6" ht="20.100000000000001" customHeight="1">
      <c r="A868" s="44">
        <v>865</v>
      </c>
      <c r="B868" s="45">
        <v>2018</v>
      </c>
      <c r="C868" s="47" t="s">
        <v>34</v>
      </c>
      <c r="D868" s="45" t="s">
        <v>908</v>
      </c>
      <c r="E868" s="45" t="s">
        <v>1984</v>
      </c>
      <c r="F868" s="50">
        <v>4</v>
      </c>
    </row>
    <row r="869" spans="1:6" ht="20.100000000000001" customHeight="1">
      <c r="A869" s="44">
        <v>866</v>
      </c>
      <c r="B869" s="45">
        <v>2018</v>
      </c>
      <c r="C869" s="47" t="s">
        <v>34</v>
      </c>
      <c r="D869" s="45" t="s">
        <v>911</v>
      </c>
      <c r="E869" s="45" t="s">
        <v>1985</v>
      </c>
      <c r="F869" s="50">
        <v>11.88</v>
      </c>
    </row>
    <row r="870" spans="1:6" ht="20.100000000000001" customHeight="1">
      <c r="A870" s="44">
        <v>867</v>
      </c>
      <c r="B870" s="45">
        <v>2018</v>
      </c>
      <c r="C870" s="47" t="s">
        <v>34</v>
      </c>
      <c r="D870" s="45" t="s">
        <v>772</v>
      </c>
      <c r="E870" s="45" t="s">
        <v>1986</v>
      </c>
      <c r="F870" s="50">
        <v>6.48</v>
      </c>
    </row>
    <row r="871" spans="1:6" ht="20.100000000000001" customHeight="1">
      <c r="A871" s="44">
        <v>868</v>
      </c>
      <c r="B871" s="44">
        <v>2018</v>
      </c>
      <c r="C871" s="41" t="s">
        <v>33</v>
      </c>
      <c r="D871" s="44" t="s">
        <v>773</v>
      </c>
      <c r="E871" s="44" t="s">
        <v>1653</v>
      </c>
      <c r="F871" s="50">
        <v>16</v>
      </c>
    </row>
    <row r="872" spans="1:6" ht="20.100000000000001" customHeight="1">
      <c r="A872" s="44">
        <v>869</v>
      </c>
      <c r="B872" s="44">
        <v>2018</v>
      </c>
      <c r="C872" s="41" t="s">
        <v>33</v>
      </c>
      <c r="D872" s="44" t="s">
        <v>774</v>
      </c>
      <c r="E872" s="44" t="s">
        <v>1654</v>
      </c>
      <c r="F872" s="50">
        <v>25.92</v>
      </c>
    </row>
    <row r="873" spans="1:6" ht="20.100000000000001" customHeight="1">
      <c r="A873" s="44">
        <v>870</v>
      </c>
      <c r="B873" s="44">
        <v>2018</v>
      </c>
      <c r="C873" s="41" t="s">
        <v>33</v>
      </c>
      <c r="D873" s="44" t="s">
        <v>775</v>
      </c>
      <c r="E873" s="44" t="s">
        <v>1655</v>
      </c>
      <c r="F873" s="50">
        <v>20.16</v>
      </c>
    </row>
    <row r="874" spans="1:6" ht="20.100000000000001" customHeight="1">
      <c r="A874" s="44">
        <v>871</v>
      </c>
      <c r="B874" s="44">
        <v>2018</v>
      </c>
      <c r="C874" s="41" t="s">
        <v>33</v>
      </c>
      <c r="D874" s="44" t="s">
        <v>776</v>
      </c>
      <c r="E874" s="44" t="s">
        <v>1656</v>
      </c>
      <c r="F874" s="50">
        <v>3</v>
      </c>
    </row>
    <row r="875" spans="1:6" ht="20.100000000000001" customHeight="1">
      <c r="A875" s="44">
        <v>872</v>
      </c>
      <c r="B875" s="44">
        <v>2018</v>
      </c>
      <c r="C875" s="41" t="s">
        <v>33</v>
      </c>
      <c r="D875" s="44" t="s">
        <v>777</v>
      </c>
      <c r="E875" s="44" t="s">
        <v>1657</v>
      </c>
      <c r="F875" s="50">
        <v>3</v>
      </c>
    </row>
    <row r="876" spans="1:6" ht="20.100000000000001" customHeight="1">
      <c r="A876" s="44">
        <v>873</v>
      </c>
      <c r="B876" s="44">
        <v>2018</v>
      </c>
      <c r="C876" s="41" t="s">
        <v>33</v>
      </c>
      <c r="D876" s="44" t="s">
        <v>778</v>
      </c>
      <c r="E876" s="44" t="s">
        <v>1658</v>
      </c>
      <c r="F876" s="50">
        <v>3</v>
      </c>
    </row>
    <row r="877" spans="1:6" ht="20.100000000000001" customHeight="1">
      <c r="A877" s="44">
        <v>874</v>
      </c>
      <c r="B877" s="44">
        <v>2018</v>
      </c>
      <c r="C877" s="41" t="s">
        <v>1461</v>
      </c>
      <c r="D877" s="45" t="s">
        <v>2684</v>
      </c>
      <c r="E877" s="44" t="s">
        <v>1425</v>
      </c>
      <c r="F877" s="50">
        <v>6</v>
      </c>
    </row>
    <row r="878" spans="1:6" ht="20.100000000000001" customHeight="1">
      <c r="A878" s="44">
        <v>875</v>
      </c>
      <c r="B878" s="44">
        <v>2018</v>
      </c>
      <c r="C878" s="41" t="s">
        <v>6</v>
      </c>
      <c r="D878" s="44" t="s">
        <v>779</v>
      </c>
      <c r="E878" s="44" t="s">
        <v>1424</v>
      </c>
      <c r="F878" s="50">
        <v>25.81</v>
      </c>
    </row>
    <row r="879" spans="1:6" ht="20.100000000000001" customHeight="1">
      <c r="A879" s="44">
        <v>876</v>
      </c>
      <c r="B879" s="44">
        <v>2018</v>
      </c>
      <c r="C879" s="41" t="s">
        <v>6</v>
      </c>
      <c r="D879" s="44" t="s">
        <v>780</v>
      </c>
      <c r="E879" s="44" t="s">
        <v>1426</v>
      </c>
      <c r="F879" s="50">
        <v>10.5</v>
      </c>
    </row>
    <row r="880" spans="1:6" ht="20.100000000000001" customHeight="1">
      <c r="A880" s="44">
        <v>877</v>
      </c>
      <c r="B880" s="44">
        <v>2018</v>
      </c>
      <c r="C880" s="41" t="s">
        <v>3</v>
      </c>
      <c r="D880" s="44" t="s">
        <v>781</v>
      </c>
      <c r="E880" s="44" t="s">
        <v>1107</v>
      </c>
      <c r="F880" s="50">
        <v>80.64</v>
      </c>
    </row>
    <row r="881" spans="1:6" ht="20.100000000000001" customHeight="1">
      <c r="A881" s="44">
        <v>878</v>
      </c>
      <c r="B881" s="44">
        <v>2018</v>
      </c>
      <c r="C881" s="41" t="s">
        <v>56</v>
      </c>
      <c r="D881" s="44" t="s">
        <v>783</v>
      </c>
      <c r="E881" s="44" t="s">
        <v>1754</v>
      </c>
      <c r="F881" s="50">
        <v>40</v>
      </c>
    </row>
    <row r="882" spans="1:6" ht="20.100000000000001" customHeight="1">
      <c r="A882" s="44">
        <v>879</v>
      </c>
      <c r="B882" s="44">
        <v>2018</v>
      </c>
      <c r="C882" s="41" t="s">
        <v>56</v>
      </c>
      <c r="D882" s="44" t="s">
        <v>782</v>
      </c>
      <c r="E882" s="44" t="s">
        <v>1753</v>
      </c>
      <c r="F882" s="50">
        <v>12.24</v>
      </c>
    </row>
    <row r="883" spans="1:6" ht="20.100000000000001" customHeight="1">
      <c r="A883" s="44">
        <v>880</v>
      </c>
      <c r="B883" s="44">
        <v>2018</v>
      </c>
      <c r="C883" s="41" t="s">
        <v>56</v>
      </c>
      <c r="D883" s="44" t="s">
        <v>785</v>
      </c>
      <c r="E883" s="44" t="s">
        <v>1756</v>
      </c>
      <c r="F883" s="50">
        <v>136</v>
      </c>
    </row>
    <row r="884" spans="1:6" ht="20.100000000000001" customHeight="1">
      <c r="A884" s="44">
        <v>881</v>
      </c>
      <c r="B884" s="44">
        <v>2018</v>
      </c>
      <c r="C884" s="41" t="s">
        <v>56</v>
      </c>
      <c r="D884" s="44" t="s">
        <v>784</v>
      </c>
      <c r="E884" s="44" t="s">
        <v>1755</v>
      </c>
      <c r="F884" s="50">
        <v>6</v>
      </c>
    </row>
    <row r="885" spans="1:6" ht="20.100000000000001" customHeight="1">
      <c r="A885" s="44">
        <v>882</v>
      </c>
      <c r="B885" s="44">
        <v>2018</v>
      </c>
      <c r="C885" s="41" t="s">
        <v>57</v>
      </c>
      <c r="D885" s="44" t="s">
        <v>786</v>
      </c>
      <c r="E885" s="44" t="s">
        <v>1119</v>
      </c>
      <c r="F885" s="50">
        <v>12.375</v>
      </c>
    </row>
    <row r="886" spans="1:6" ht="20.100000000000001" customHeight="1">
      <c r="A886" s="44">
        <v>883</v>
      </c>
      <c r="B886" s="44">
        <v>2018</v>
      </c>
      <c r="C886" s="41" t="s">
        <v>57</v>
      </c>
      <c r="D886" s="44" t="s">
        <v>787</v>
      </c>
      <c r="E886" s="44" t="s">
        <v>1118</v>
      </c>
      <c r="F886" s="50">
        <v>25.74</v>
      </c>
    </row>
    <row r="887" spans="1:6" ht="20.100000000000001" customHeight="1">
      <c r="A887" s="44">
        <v>884</v>
      </c>
      <c r="B887" s="45">
        <v>2018</v>
      </c>
      <c r="C887" s="47" t="s">
        <v>2131</v>
      </c>
      <c r="D887" s="45" t="s">
        <v>2295</v>
      </c>
      <c r="E887" s="45" t="s">
        <v>2938</v>
      </c>
      <c r="F887" s="50">
        <v>30</v>
      </c>
    </row>
    <row r="888" spans="1:6" s="59" customFormat="1" ht="20.100000000000001" customHeight="1">
      <c r="A888" s="44">
        <v>885</v>
      </c>
      <c r="B888" s="45">
        <v>2020</v>
      </c>
      <c r="C888" s="47" t="s">
        <v>2606</v>
      </c>
      <c r="D888" s="45" t="s">
        <v>789</v>
      </c>
      <c r="E888" s="45" t="s">
        <v>1221</v>
      </c>
      <c r="F888" s="50">
        <v>9.18</v>
      </c>
    </row>
    <row r="889" spans="1:6" ht="20.100000000000001" customHeight="1">
      <c r="A889" s="44">
        <v>886</v>
      </c>
      <c r="B889" s="44">
        <v>2019</v>
      </c>
      <c r="C889" s="41" t="s">
        <v>2503</v>
      </c>
      <c r="D889" s="44" t="s">
        <v>790</v>
      </c>
      <c r="E889" s="44" t="s">
        <v>1068</v>
      </c>
      <c r="F889" s="50">
        <v>21</v>
      </c>
    </row>
    <row r="890" spans="1:6" ht="20.100000000000001" customHeight="1">
      <c r="A890" s="44">
        <v>887</v>
      </c>
      <c r="B890" s="44">
        <v>2019</v>
      </c>
      <c r="C890" s="41" t="s">
        <v>2503</v>
      </c>
      <c r="D890" s="44" t="s">
        <v>791</v>
      </c>
      <c r="E890" s="44" t="s">
        <v>1068</v>
      </c>
      <c r="F890" s="50">
        <v>20.25</v>
      </c>
    </row>
    <row r="891" spans="1:6" ht="20.100000000000001" customHeight="1">
      <c r="A891" s="44">
        <v>888</v>
      </c>
      <c r="B891" s="45">
        <v>2019</v>
      </c>
      <c r="C891" s="47" t="s">
        <v>2485</v>
      </c>
      <c r="D891" s="45" t="s">
        <v>2607</v>
      </c>
      <c r="E891" s="45" t="s">
        <v>2939</v>
      </c>
      <c r="F891" s="50">
        <v>51</v>
      </c>
    </row>
    <row r="892" spans="1:6" ht="20.100000000000001" customHeight="1">
      <c r="A892" s="44">
        <v>889</v>
      </c>
      <c r="B892" s="44">
        <v>2019</v>
      </c>
      <c r="C892" s="41" t="s">
        <v>17</v>
      </c>
      <c r="D892" s="44" t="s">
        <v>1462</v>
      </c>
      <c r="E892" s="44" t="s">
        <v>1427</v>
      </c>
      <c r="F892" s="50">
        <v>36.630000000000003</v>
      </c>
    </row>
    <row r="893" spans="1:6" ht="20.100000000000001" customHeight="1">
      <c r="A893" s="44">
        <v>890</v>
      </c>
      <c r="B893" s="44">
        <v>2019</v>
      </c>
      <c r="C893" s="41" t="s">
        <v>2474</v>
      </c>
      <c r="D893" s="44" t="s">
        <v>792</v>
      </c>
      <c r="E893" s="44" t="s">
        <v>1812</v>
      </c>
      <c r="F893" s="50">
        <v>16.184999999999999</v>
      </c>
    </row>
    <row r="894" spans="1:6" ht="20.100000000000001" customHeight="1">
      <c r="A894" s="44">
        <v>891</v>
      </c>
      <c r="B894" s="44">
        <v>2019</v>
      </c>
      <c r="C894" s="41" t="s">
        <v>335</v>
      </c>
      <c r="D894" s="44" t="s">
        <v>793</v>
      </c>
      <c r="E894" s="44" t="s">
        <v>2940</v>
      </c>
      <c r="F894" s="50">
        <v>13.494</v>
      </c>
    </row>
    <row r="895" spans="1:6" ht="20.100000000000001" customHeight="1">
      <c r="A895" s="44">
        <v>892</v>
      </c>
      <c r="B895" s="45">
        <v>2019</v>
      </c>
      <c r="C895" s="47" t="s">
        <v>652</v>
      </c>
      <c r="D895" s="45" t="s">
        <v>905</v>
      </c>
      <c r="E895" s="45" t="s">
        <v>1659</v>
      </c>
      <c r="F895" s="50">
        <v>6</v>
      </c>
    </row>
    <row r="896" spans="1:6" ht="20.100000000000001" customHeight="1">
      <c r="A896" s="44">
        <v>893</v>
      </c>
      <c r="B896" s="45">
        <v>2019</v>
      </c>
      <c r="C896" s="47" t="s">
        <v>2586</v>
      </c>
      <c r="D896" s="45" t="s">
        <v>795</v>
      </c>
      <c r="E896" s="45" t="s">
        <v>2941</v>
      </c>
      <c r="F896" s="50">
        <v>13.35</v>
      </c>
    </row>
    <row r="897" spans="1:6" ht="20.100000000000001" customHeight="1">
      <c r="A897" s="44">
        <v>894</v>
      </c>
      <c r="B897" s="44">
        <v>2019</v>
      </c>
      <c r="C897" s="41" t="s">
        <v>44</v>
      </c>
      <c r="D897" s="44" t="s">
        <v>796</v>
      </c>
      <c r="E897" s="44" t="s">
        <v>1049</v>
      </c>
      <c r="F897" s="50">
        <v>12</v>
      </c>
    </row>
    <row r="898" spans="1:6" ht="20.100000000000001" customHeight="1">
      <c r="A898" s="44">
        <v>895</v>
      </c>
      <c r="B898" s="44">
        <v>2019</v>
      </c>
      <c r="C898" s="41" t="s">
        <v>44</v>
      </c>
      <c r="D898" s="44" t="s">
        <v>797</v>
      </c>
      <c r="E898" s="44" t="s">
        <v>2102</v>
      </c>
      <c r="F898" s="50">
        <v>12.24</v>
      </c>
    </row>
    <row r="899" spans="1:6" ht="20.100000000000001" customHeight="1">
      <c r="A899" s="44">
        <v>896</v>
      </c>
      <c r="B899" s="44">
        <v>2019</v>
      </c>
      <c r="C899" s="41" t="s">
        <v>44</v>
      </c>
      <c r="D899" s="44" t="s">
        <v>1045</v>
      </c>
      <c r="E899" s="44" t="s">
        <v>1046</v>
      </c>
      <c r="F899" s="50">
        <v>30</v>
      </c>
    </row>
    <row r="900" spans="1:6" ht="20.100000000000001" customHeight="1">
      <c r="A900" s="44">
        <v>897</v>
      </c>
      <c r="B900" s="45">
        <v>2019</v>
      </c>
      <c r="C900" s="47" t="s">
        <v>1002</v>
      </c>
      <c r="D900" s="45" t="s">
        <v>798</v>
      </c>
      <c r="E900" s="45" t="s">
        <v>2942</v>
      </c>
      <c r="F900" s="50">
        <v>3</v>
      </c>
    </row>
    <row r="901" spans="1:6" ht="20.100000000000001" customHeight="1">
      <c r="A901" s="44">
        <v>898</v>
      </c>
      <c r="B901" s="45">
        <v>2019</v>
      </c>
      <c r="C901" s="47" t="s">
        <v>1002</v>
      </c>
      <c r="D901" s="45" t="s">
        <v>2257</v>
      </c>
      <c r="E901" s="45" t="s">
        <v>1003</v>
      </c>
      <c r="F901" s="50">
        <v>3</v>
      </c>
    </row>
    <row r="902" spans="1:6" ht="20.100000000000001" customHeight="1">
      <c r="A902" s="44">
        <v>899</v>
      </c>
      <c r="B902" s="67">
        <v>2019</v>
      </c>
      <c r="C902" s="68" t="s">
        <v>2588</v>
      </c>
      <c r="D902" s="67" t="s">
        <v>1073</v>
      </c>
      <c r="E902" s="67" t="s">
        <v>1074</v>
      </c>
      <c r="F902" s="91">
        <v>30.2</v>
      </c>
    </row>
    <row r="903" spans="1:6" ht="20.100000000000001" customHeight="1">
      <c r="A903" s="44">
        <v>900</v>
      </c>
      <c r="B903" s="44">
        <v>2019</v>
      </c>
      <c r="C903" s="41" t="s">
        <v>278</v>
      </c>
      <c r="D903" s="44" t="s">
        <v>2128</v>
      </c>
      <c r="E903" s="44" t="s">
        <v>2566</v>
      </c>
      <c r="F903" s="50">
        <v>9.5</v>
      </c>
    </row>
    <row r="904" spans="1:6" ht="20.100000000000001" customHeight="1">
      <c r="A904" s="44">
        <v>901</v>
      </c>
      <c r="B904" s="44">
        <v>2019</v>
      </c>
      <c r="C904" s="41" t="s">
        <v>278</v>
      </c>
      <c r="D904" s="44" t="s">
        <v>801</v>
      </c>
      <c r="E904" s="44" t="s">
        <v>2129</v>
      </c>
      <c r="F904" s="50">
        <v>9</v>
      </c>
    </row>
    <row r="905" spans="1:6" ht="20.100000000000001" customHeight="1">
      <c r="A905" s="44">
        <v>902</v>
      </c>
      <c r="B905" s="44">
        <v>2019</v>
      </c>
      <c r="C905" s="41" t="s">
        <v>278</v>
      </c>
      <c r="D905" s="44" t="s">
        <v>800</v>
      </c>
      <c r="E905" s="44" t="s">
        <v>2567</v>
      </c>
      <c r="F905" s="50">
        <v>6</v>
      </c>
    </row>
    <row r="906" spans="1:6" ht="20.100000000000001" customHeight="1">
      <c r="A906" s="44">
        <v>903</v>
      </c>
      <c r="B906" s="44">
        <v>2019</v>
      </c>
      <c r="C906" s="41" t="s">
        <v>278</v>
      </c>
      <c r="D906" s="44" t="s">
        <v>805</v>
      </c>
      <c r="E906" s="44" t="s">
        <v>2568</v>
      </c>
      <c r="F906" s="50">
        <v>6</v>
      </c>
    </row>
    <row r="907" spans="1:6" ht="20.100000000000001" customHeight="1">
      <c r="A907" s="44">
        <v>904</v>
      </c>
      <c r="B907" s="44">
        <v>2019</v>
      </c>
      <c r="C907" s="41" t="s">
        <v>278</v>
      </c>
      <c r="D907" s="44" t="s">
        <v>802</v>
      </c>
      <c r="E907" s="44" t="s">
        <v>2569</v>
      </c>
      <c r="F907" s="50">
        <v>6</v>
      </c>
    </row>
    <row r="908" spans="1:6" ht="20.100000000000001" customHeight="1">
      <c r="A908" s="44">
        <v>905</v>
      </c>
      <c r="B908" s="45">
        <v>2019</v>
      </c>
      <c r="C908" s="47" t="s">
        <v>278</v>
      </c>
      <c r="D908" s="45" t="s">
        <v>799</v>
      </c>
      <c r="E908" s="45" t="s">
        <v>2570</v>
      </c>
      <c r="F908" s="50">
        <v>9</v>
      </c>
    </row>
    <row r="909" spans="1:6" ht="20.100000000000001" customHeight="1">
      <c r="A909" s="44">
        <v>906</v>
      </c>
      <c r="B909" s="45">
        <v>2019</v>
      </c>
      <c r="C909" s="47" t="s">
        <v>278</v>
      </c>
      <c r="D909" s="45" t="s">
        <v>1429</v>
      </c>
      <c r="E909" s="45" t="s">
        <v>2130</v>
      </c>
      <c r="F909" s="50">
        <v>62</v>
      </c>
    </row>
    <row r="910" spans="1:6" ht="20.100000000000001" customHeight="1">
      <c r="A910" s="44">
        <v>907</v>
      </c>
      <c r="B910" s="44">
        <v>2019</v>
      </c>
      <c r="C910" s="41" t="s">
        <v>1282</v>
      </c>
      <c r="D910" s="44" t="s">
        <v>804</v>
      </c>
      <c r="E910" s="44" t="s">
        <v>2571</v>
      </c>
      <c r="F910" s="50">
        <v>3</v>
      </c>
    </row>
    <row r="911" spans="1:6" ht="20.100000000000001" customHeight="1">
      <c r="A911" s="44">
        <v>908</v>
      </c>
      <c r="B911" s="44">
        <v>2019</v>
      </c>
      <c r="C911" s="41" t="s">
        <v>278</v>
      </c>
      <c r="D911" s="44" t="s">
        <v>803</v>
      </c>
      <c r="E911" s="44" t="s">
        <v>2572</v>
      </c>
      <c r="F911" s="50">
        <v>11</v>
      </c>
    </row>
    <row r="912" spans="1:6" ht="20.100000000000001" customHeight="1">
      <c r="A912" s="44">
        <v>909</v>
      </c>
      <c r="B912" s="44">
        <v>2019</v>
      </c>
      <c r="C912" s="41" t="s">
        <v>122</v>
      </c>
      <c r="D912" s="44" t="s">
        <v>1963</v>
      </c>
      <c r="E912" s="44" t="s">
        <v>1920</v>
      </c>
      <c r="F912" s="50">
        <v>50</v>
      </c>
    </row>
    <row r="913" spans="1:6" ht="20.100000000000001" customHeight="1">
      <c r="A913" s="44">
        <v>910</v>
      </c>
      <c r="B913" s="44">
        <v>2019</v>
      </c>
      <c r="C913" s="41" t="s">
        <v>7</v>
      </c>
      <c r="D913" s="44" t="s">
        <v>1815</v>
      </c>
      <c r="E913" s="44" t="s">
        <v>2933</v>
      </c>
      <c r="F913" s="50">
        <v>21</v>
      </c>
    </row>
    <row r="914" spans="1:6" ht="20.100000000000001" customHeight="1">
      <c r="A914" s="44">
        <v>911</v>
      </c>
      <c r="B914" s="44">
        <v>2019</v>
      </c>
      <c r="C914" s="41" t="s">
        <v>669</v>
      </c>
      <c r="D914" s="44" t="s">
        <v>1184</v>
      </c>
      <c r="E914" s="44" t="s">
        <v>2934</v>
      </c>
      <c r="F914" s="50">
        <v>67</v>
      </c>
    </row>
    <row r="915" spans="1:6" ht="20.100000000000001" customHeight="1">
      <c r="A915" s="44">
        <v>912</v>
      </c>
      <c r="B915" s="45">
        <v>2019</v>
      </c>
      <c r="C915" s="47" t="s">
        <v>817</v>
      </c>
      <c r="D915" s="45" t="s">
        <v>818</v>
      </c>
      <c r="E915" s="45" t="s">
        <v>2592</v>
      </c>
      <c r="F915" s="50">
        <v>18</v>
      </c>
    </row>
    <row r="916" spans="1:6" ht="20.100000000000001" customHeight="1">
      <c r="A916" s="44">
        <v>913</v>
      </c>
      <c r="B916" s="45">
        <v>2019</v>
      </c>
      <c r="C916" s="47" t="s">
        <v>806</v>
      </c>
      <c r="D916" s="45" t="s">
        <v>807</v>
      </c>
      <c r="E916" s="45" t="s">
        <v>2935</v>
      </c>
      <c r="F916" s="50">
        <v>66</v>
      </c>
    </row>
    <row r="917" spans="1:6" ht="20.100000000000001" customHeight="1">
      <c r="A917" s="44">
        <v>914</v>
      </c>
      <c r="B917" s="45">
        <v>2019</v>
      </c>
      <c r="C917" s="47" t="s">
        <v>671</v>
      </c>
      <c r="D917" s="45" t="s">
        <v>1216</v>
      </c>
      <c r="E917" s="45" t="s">
        <v>1215</v>
      </c>
      <c r="F917" s="50">
        <v>54</v>
      </c>
    </row>
    <row r="918" spans="1:6" ht="20.100000000000001" customHeight="1">
      <c r="A918" s="44">
        <v>915</v>
      </c>
      <c r="B918" s="45">
        <v>2019</v>
      </c>
      <c r="C918" s="47" t="s">
        <v>407</v>
      </c>
      <c r="D918" s="45" t="s">
        <v>808</v>
      </c>
      <c r="E918" s="45" t="s">
        <v>2936</v>
      </c>
      <c r="F918" s="50">
        <v>84.375</v>
      </c>
    </row>
    <row r="919" spans="1:6" ht="20.100000000000001" customHeight="1">
      <c r="A919" s="44">
        <v>916</v>
      </c>
      <c r="B919" s="45">
        <v>2019</v>
      </c>
      <c r="C919" s="47" t="s">
        <v>407</v>
      </c>
      <c r="D919" s="45" t="s">
        <v>897</v>
      </c>
      <c r="E919" s="45" t="s">
        <v>2936</v>
      </c>
      <c r="F919" s="50">
        <v>33.75</v>
      </c>
    </row>
    <row r="920" spans="1:6" ht="20.100000000000001" customHeight="1">
      <c r="A920" s="44">
        <v>917</v>
      </c>
      <c r="B920" s="45">
        <v>2019</v>
      </c>
      <c r="C920" s="47" t="s">
        <v>407</v>
      </c>
      <c r="D920" s="45" t="s">
        <v>898</v>
      </c>
      <c r="E920" s="45" t="s">
        <v>2936</v>
      </c>
      <c r="F920" s="50">
        <v>33.75</v>
      </c>
    </row>
    <row r="921" spans="1:6" ht="20.100000000000001" customHeight="1">
      <c r="A921" s="44">
        <v>918</v>
      </c>
      <c r="B921" s="44">
        <v>2019</v>
      </c>
      <c r="C921" s="41" t="s">
        <v>1456</v>
      </c>
      <c r="D921" s="44" t="s">
        <v>810</v>
      </c>
      <c r="E921" s="44" t="s">
        <v>2887</v>
      </c>
      <c r="F921" s="50">
        <v>78</v>
      </c>
    </row>
    <row r="922" spans="1:6" ht="20.100000000000001" customHeight="1">
      <c r="A922" s="44">
        <v>919</v>
      </c>
      <c r="B922" s="44">
        <v>2019</v>
      </c>
      <c r="C922" s="41" t="s">
        <v>678</v>
      </c>
      <c r="D922" s="44" t="s">
        <v>899</v>
      </c>
      <c r="E922" s="44" t="s">
        <v>2887</v>
      </c>
      <c r="F922" s="50">
        <v>121</v>
      </c>
    </row>
    <row r="923" spans="1:6" ht="20.100000000000001" customHeight="1">
      <c r="A923" s="44">
        <v>920</v>
      </c>
      <c r="B923" s="44">
        <v>2019</v>
      </c>
      <c r="C923" s="41" t="s">
        <v>1456</v>
      </c>
      <c r="D923" s="44" t="s">
        <v>1464</v>
      </c>
      <c r="E923" s="44" t="s">
        <v>2887</v>
      </c>
      <c r="F923" s="50">
        <v>36</v>
      </c>
    </row>
    <row r="924" spans="1:6" ht="20.100000000000001" customHeight="1">
      <c r="A924" s="44">
        <v>921</v>
      </c>
      <c r="B924" s="45">
        <v>2019</v>
      </c>
      <c r="C924" s="47" t="s">
        <v>680</v>
      </c>
      <c r="D924" s="45" t="s">
        <v>901</v>
      </c>
      <c r="E924" s="45" t="s">
        <v>2937</v>
      </c>
      <c r="F924" s="50">
        <v>30</v>
      </c>
    </row>
    <row r="925" spans="1:6" ht="20.100000000000001" customHeight="1">
      <c r="A925" s="44">
        <v>922</v>
      </c>
      <c r="B925" s="45">
        <v>2019</v>
      </c>
      <c r="C925" s="47" t="s">
        <v>680</v>
      </c>
      <c r="D925" s="45" t="s">
        <v>900</v>
      </c>
      <c r="E925" s="45" t="s">
        <v>2937</v>
      </c>
      <c r="F925" s="50">
        <v>90</v>
      </c>
    </row>
    <row r="926" spans="1:6" ht="20.100000000000001" customHeight="1">
      <c r="A926" s="44">
        <v>923</v>
      </c>
      <c r="B926" s="45">
        <v>2019</v>
      </c>
      <c r="C926" s="47" t="s">
        <v>680</v>
      </c>
      <c r="D926" s="45" t="s">
        <v>812</v>
      </c>
      <c r="E926" s="45" t="s">
        <v>2937</v>
      </c>
      <c r="F926" s="50">
        <v>51.8</v>
      </c>
    </row>
    <row r="927" spans="1:6" ht="20.100000000000001" customHeight="1">
      <c r="A927" s="44">
        <v>924</v>
      </c>
      <c r="B927" s="45">
        <v>2019</v>
      </c>
      <c r="C927" s="47" t="s">
        <v>680</v>
      </c>
      <c r="D927" s="45" t="s">
        <v>811</v>
      </c>
      <c r="E927" s="45" t="s">
        <v>2937</v>
      </c>
      <c r="F927" s="50">
        <v>49.5</v>
      </c>
    </row>
    <row r="928" spans="1:6" ht="20.100000000000001" customHeight="1">
      <c r="A928" s="44">
        <v>925</v>
      </c>
      <c r="B928" s="45">
        <v>2019</v>
      </c>
      <c r="C928" s="47" t="s">
        <v>2589</v>
      </c>
      <c r="D928" s="45" t="s">
        <v>1089</v>
      </c>
      <c r="E928" s="45" t="s">
        <v>1090</v>
      </c>
      <c r="F928" s="50">
        <v>10</v>
      </c>
    </row>
    <row r="929" spans="1:6" ht="20.100000000000001" customHeight="1">
      <c r="A929" s="44">
        <v>926</v>
      </c>
      <c r="B929" s="44">
        <v>2019</v>
      </c>
      <c r="C929" s="41" t="s">
        <v>794</v>
      </c>
      <c r="D929" s="44" t="s">
        <v>1463</v>
      </c>
      <c r="E929" s="44" t="s">
        <v>1428</v>
      </c>
      <c r="F929" s="50">
        <v>48</v>
      </c>
    </row>
    <row r="930" spans="1:6" ht="20.100000000000001" customHeight="1">
      <c r="A930" s="44">
        <v>927</v>
      </c>
      <c r="B930" s="45">
        <v>2019</v>
      </c>
      <c r="C930" s="47" t="s">
        <v>813</v>
      </c>
      <c r="D930" s="37" t="s">
        <v>2679</v>
      </c>
      <c r="E930" s="45" t="s">
        <v>2941</v>
      </c>
      <c r="F930" s="50">
        <v>60</v>
      </c>
    </row>
    <row r="931" spans="1:6" ht="20.100000000000001" customHeight="1">
      <c r="A931" s="44">
        <v>928</v>
      </c>
      <c r="B931" s="44">
        <v>2019</v>
      </c>
      <c r="C931" s="41" t="s">
        <v>202</v>
      </c>
      <c r="D931" s="44" t="s">
        <v>1465</v>
      </c>
      <c r="E931" s="44" t="s">
        <v>2745</v>
      </c>
      <c r="F931" s="50">
        <v>141.12</v>
      </c>
    </row>
    <row r="932" spans="1:6" ht="20.100000000000001" customHeight="1">
      <c r="A932" s="44">
        <v>929</v>
      </c>
      <c r="B932" s="44">
        <v>2019</v>
      </c>
      <c r="C932" s="41" t="s">
        <v>59</v>
      </c>
      <c r="D932" s="44" t="s">
        <v>816</v>
      </c>
      <c r="E932" s="44" t="s">
        <v>2932</v>
      </c>
      <c r="F932" s="50">
        <v>70.56</v>
      </c>
    </row>
    <row r="933" spans="1:6" ht="20.100000000000001" customHeight="1">
      <c r="A933" s="44">
        <v>930</v>
      </c>
      <c r="B933" s="45">
        <v>2019</v>
      </c>
      <c r="C933" s="47" t="s">
        <v>2016</v>
      </c>
      <c r="D933" s="45" t="s">
        <v>2678</v>
      </c>
      <c r="E933" s="45" t="s">
        <v>2973</v>
      </c>
      <c r="F933" s="50">
        <v>50.63</v>
      </c>
    </row>
    <row r="934" spans="1:6" ht="20.100000000000001" customHeight="1">
      <c r="A934" s="44">
        <v>931</v>
      </c>
      <c r="B934" s="45">
        <v>2019</v>
      </c>
      <c r="C934" s="47" t="s">
        <v>241</v>
      </c>
      <c r="D934" s="45" t="s">
        <v>815</v>
      </c>
      <c r="E934" s="45" t="s">
        <v>1660</v>
      </c>
      <c r="F934" s="50">
        <v>22</v>
      </c>
    </row>
    <row r="935" spans="1:6" ht="20.100000000000001" customHeight="1">
      <c r="A935" s="44">
        <v>932</v>
      </c>
      <c r="B935" s="45">
        <v>2019</v>
      </c>
      <c r="C935" s="47" t="s">
        <v>2586</v>
      </c>
      <c r="D935" s="45" t="s">
        <v>819</v>
      </c>
      <c r="E935" s="45" t="s">
        <v>1257</v>
      </c>
      <c r="F935" s="50">
        <v>46</v>
      </c>
    </row>
    <row r="936" spans="1:6" ht="20.100000000000001" customHeight="1">
      <c r="A936" s="44">
        <v>933</v>
      </c>
      <c r="B936" s="45">
        <v>2019</v>
      </c>
      <c r="C936" s="47" t="s">
        <v>2587</v>
      </c>
      <c r="D936" s="45" t="s">
        <v>820</v>
      </c>
      <c r="E936" s="45" t="s">
        <v>1661</v>
      </c>
      <c r="F936" s="50">
        <v>8</v>
      </c>
    </row>
    <row r="937" spans="1:6" ht="20.100000000000001" customHeight="1">
      <c r="A937" s="44">
        <v>934</v>
      </c>
      <c r="B937" s="45">
        <v>2019</v>
      </c>
      <c r="C937" s="47" t="s">
        <v>2586</v>
      </c>
      <c r="D937" s="45" t="s">
        <v>821</v>
      </c>
      <c r="E937" s="45" t="s">
        <v>1662</v>
      </c>
      <c r="F937" s="50">
        <v>162</v>
      </c>
    </row>
    <row r="938" spans="1:6" ht="20.100000000000001" customHeight="1">
      <c r="A938" s="44">
        <v>935</v>
      </c>
      <c r="B938" s="45">
        <v>2019</v>
      </c>
      <c r="C938" s="47" t="s">
        <v>12</v>
      </c>
      <c r="D938" s="45" t="s">
        <v>822</v>
      </c>
      <c r="E938" s="45" t="s">
        <v>2872</v>
      </c>
      <c r="F938" s="50">
        <v>20.399999999999999</v>
      </c>
    </row>
    <row r="939" spans="1:6" ht="20.100000000000001" customHeight="1">
      <c r="A939" s="44">
        <v>936</v>
      </c>
      <c r="B939" s="45">
        <v>2019</v>
      </c>
      <c r="C939" s="47" t="s">
        <v>12</v>
      </c>
      <c r="D939" s="45" t="s">
        <v>903</v>
      </c>
      <c r="E939" s="45" t="s">
        <v>1878</v>
      </c>
      <c r="F939" s="50">
        <v>50</v>
      </c>
    </row>
    <row r="940" spans="1:6" ht="20.100000000000001" customHeight="1">
      <c r="A940" s="44">
        <v>937</v>
      </c>
      <c r="B940" s="45">
        <v>2019</v>
      </c>
      <c r="C940" s="47" t="s">
        <v>12</v>
      </c>
      <c r="D940" s="45" t="s">
        <v>823</v>
      </c>
      <c r="E940" s="45" t="s">
        <v>1878</v>
      </c>
      <c r="F940" s="50">
        <v>30</v>
      </c>
    </row>
    <row r="941" spans="1:6" ht="20.100000000000001" customHeight="1">
      <c r="A941" s="44">
        <v>938</v>
      </c>
      <c r="B941" s="45">
        <v>2019</v>
      </c>
      <c r="C941" s="47" t="s">
        <v>1233</v>
      </c>
      <c r="D941" s="45" t="s">
        <v>824</v>
      </c>
      <c r="E941" s="45" t="s">
        <v>1430</v>
      </c>
      <c r="F941" s="50">
        <v>20.100000000000001</v>
      </c>
    </row>
    <row r="942" spans="1:6" ht="20.100000000000001" customHeight="1">
      <c r="A942" s="44">
        <v>939</v>
      </c>
      <c r="B942" s="45">
        <v>2019</v>
      </c>
      <c r="C942" s="47" t="s">
        <v>1233</v>
      </c>
      <c r="D942" s="45" t="s">
        <v>828</v>
      </c>
      <c r="E942" s="45" t="s">
        <v>1435</v>
      </c>
      <c r="F942" s="50">
        <v>70</v>
      </c>
    </row>
    <row r="943" spans="1:6" ht="20.100000000000001" customHeight="1">
      <c r="A943" s="44">
        <v>940</v>
      </c>
      <c r="B943" s="45">
        <v>2019</v>
      </c>
      <c r="C943" s="47" t="s">
        <v>1233</v>
      </c>
      <c r="D943" s="45" t="s">
        <v>827</v>
      </c>
      <c r="E943" s="45" t="s">
        <v>1434</v>
      </c>
      <c r="F943" s="50">
        <v>45</v>
      </c>
    </row>
    <row r="944" spans="1:6" ht="20.100000000000001" customHeight="1">
      <c r="A944" s="44">
        <v>941</v>
      </c>
      <c r="B944" s="45">
        <v>2019</v>
      </c>
      <c r="C944" s="47" t="s">
        <v>1233</v>
      </c>
      <c r="D944" s="45" t="s">
        <v>1438</v>
      </c>
      <c r="E944" s="45" t="s">
        <v>1439</v>
      </c>
      <c r="F944" s="50">
        <v>35</v>
      </c>
    </row>
    <row r="945" spans="1:6" ht="20.100000000000001" customHeight="1">
      <c r="A945" s="44">
        <v>942</v>
      </c>
      <c r="B945" s="45">
        <v>2019</v>
      </c>
      <c r="C945" s="47" t="s">
        <v>1233</v>
      </c>
      <c r="D945" s="45" t="s">
        <v>830</v>
      </c>
      <c r="E945" s="45" t="s">
        <v>2372</v>
      </c>
      <c r="F945" s="50">
        <v>60</v>
      </c>
    </row>
    <row r="946" spans="1:6" ht="20.100000000000001" customHeight="1">
      <c r="A946" s="44">
        <v>943</v>
      </c>
      <c r="B946" s="45">
        <v>2019</v>
      </c>
      <c r="C946" s="47" t="s">
        <v>1233</v>
      </c>
      <c r="D946" s="45" t="s">
        <v>825</v>
      </c>
      <c r="E946" s="45" t="s">
        <v>1431</v>
      </c>
      <c r="F946" s="50">
        <v>60</v>
      </c>
    </row>
    <row r="947" spans="1:6" ht="20.100000000000001" customHeight="1">
      <c r="A947" s="44">
        <v>944</v>
      </c>
      <c r="B947" s="45">
        <v>2019</v>
      </c>
      <c r="C947" s="47" t="s">
        <v>1233</v>
      </c>
      <c r="D947" s="45" t="s">
        <v>1440</v>
      </c>
      <c r="E947" s="45" t="s">
        <v>2373</v>
      </c>
      <c r="F947" s="50">
        <v>50</v>
      </c>
    </row>
    <row r="948" spans="1:6" ht="20.100000000000001" customHeight="1">
      <c r="A948" s="44">
        <v>945</v>
      </c>
      <c r="B948" s="45">
        <v>2019</v>
      </c>
      <c r="C948" s="47" t="s">
        <v>1233</v>
      </c>
      <c r="D948" s="45" t="s">
        <v>832</v>
      </c>
      <c r="E948" s="45" t="s">
        <v>2374</v>
      </c>
      <c r="F948" s="50">
        <v>80</v>
      </c>
    </row>
    <row r="949" spans="1:6" ht="20.100000000000001" customHeight="1">
      <c r="A949" s="44">
        <v>946</v>
      </c>
      <c r="B949" s="45">
        <v>2019</v>
      </c>
      <c r="C949" s="47" t="s">
        <v>1233</v>
      </c>
      <c r="D949" s="45" t="s">
        <v>829</v>
      </c>
      <c r="E949" s="45" t="s">
        <v>1436</v>
      </c>
      <c r="F949" s="50">
        <v>80</v>
      </c>
    </row>
    <row r="950" spans="1:6" ht="20.100000000000001" customHeight="1">
      <c r="A950" s="44">
        <v>947</v>
      </c>
      <c r="B950" s="45">
        <v>2019</v>
      </c>
      <c r="C950" s="47" t="s">
        <v>1233</v>
      </c>
      <c r="D950" s="45" t="s">
        <v>1466</v>
      </c>
      <c r="E950" s="45" t="s">
        <v>1432</v>
      </c>
      <c r="F950" s="50">
        <v>15</v>
      </c>
    </row>
    <row r="951" spans="1:6" ht="20.100000000000001" customHeight="1">
      <c r="A951" s="44">
        <v>948</v>
      </c>
      <c r="B951" s="45">
        <v>2019</v>
      </c>
      <c r="C951" s="47" t="s">
        <v>1233</v>
      </c>
      <c r="D951" s="45" t="s">
        <v>826</v>
      </c>
      <c r="E951" s="45" t="s">
        <v>1433</v>
      </c>
      <c r="F951" s="50">
        <v>45</v>
      </c>
    </row>
    <row r="952" spans="1:6" ht="20.100000000000001" customHeight="1">
      <c r="A952" s="44">
        <v>949</v>
      </c>
      <c r="B952" s="45">
        <v>2019</v>
      </c>
      <c r="C952" s="47" t="s">
        <v>1233</v>
      </c>
      <c r="D952" s="45" t="s">
        <v>831</v>
      </c>
      <c r="E952" s="45" t="s">
        <v>1437</v>
      </c>
      <c r="F952" s="50">
        <v>60</v>
      </c>
    </row>
    <row r="953" spans="1:6" ht="20.100000000000001" customHeight="1">
      <c r="A953" s="44">
        <v>950</v>
      </c>
      <c r="B953" s="44">
        <v>2019</v>
      </c>
      <c r="C953" s="41" t="s">
        <v>75</v>
      </c>
      <c r="D953" s="44" t="s">
        <v>834</v>
      </c>
      <c r="E953" s="44" t="s">
        <v>1442</v>
      </c>
      <c r="F953" s="50">
        <v>73.44</v>
      </c>
    </row>
    <row r="954" spans="1:6" ht="20.100000000000001" customHeight="1">
      <c r="A954" s="44">
        <v>951</v>
      </c>
      <c r="B954" s="44">
        <v>2019</v>
      </c>
      <c r="C954" s="41" t="s">
        <v>75</v>
      </c>
      <c r="D954" s="44" t="s">
        <v>1443</v>
      </c>
      <c r="E954" s="44" t="s">
        <v>1444</v>
      </c>
      <c r="F954" s="50">
        <v>146.88</v>
      </c>
    </row>
    <row r="955" spans="1:6" ht="20.100000000000001" customHeight="1">
      <c r="A955" s="44">
        <v>952</v>
      </c>
      <c r="B955" s="44">
        <v>2019</v>
      </c>
      <c r="C955" s="41" t="s">
        <v>75</v>
      </c>
      <c r="D955" s="44" t="s">
        <v>833</v>
      </c>
      <c r="E955" s="44" t="s">
        <v>1441</v>
      </c>
      <c r="F955" s="50">
        <v>184.32</v>
      </c>
    </row>
    <row r="956" spans="1:6" ht="20.100000000000001" customHeight="1">
      <c r="A956" s="44">
        <v>953</v>
      </c>
      <c r="B956" s="44">
        <v>2019</v>
      </c>
      <c r="C956" s="41" t="s">
        <v>835</v>
      </c>
      <c r="D956" s="44" t="s">
        <v>836</v>
      </c>
      <c r="E956" s="45" t="s">
        <v>2652</v>
      </c>
      <c r="F956" s="50">
        <v>20.16</v>
      </c>
    </row>
    <row r="957" spans="1:6" ht="20.100000000000001" customHeight="1">
      <c r="A957" s="44">
        <v>954</v>
      </c>
      <c r="B957" s="44">
        <v>2019</v>
      </c>
      <c r="C957" s="41" t="s">
        <v>147</v>
      </c>
      <c r="D957" s="44" t="s">
        <v>837</v>
      </c>
      <c r="E957" s="44" t="s">
        <v>2931</v>
      </c>
      <c r="F957" s="50">
        <v>6</v>
      </c>
    </row>
    <row r="958" spans="1:6" ht="20.100000000000001" customHeight="1">
      <c r="A958" s="44">
        <v>955</v>
      </c>
      <c r="B958" s="44">
        <v>2019</v>
      </c>
      <c r="C958" s="41" t="s">
        <v>147</v>
      </c>
      <c r="D958" s="44" t="s">
        <v>838</v>
      </c>
      <c r="E958" s="44" t="s">
        <v>1013</v>
      </c>
      <c r="F958" s="50">
        <v>23.62</v>
      </c>
    </row>
    <row r="959" spans="1:6" ht="20.100000000000001" customHeight="1">
      <c r="A959" s="44">
        <v>956</v>
      </c>
      <c r="B959" s="45">
        <v>2019</v>
      </c>
      <c r="C959" s="47" t="s">
        <v>55</v>
      </c>
      <c r="D959" s="45" t="s">
        <v>1729</v>
      </c>
      <c r="E959" s="45" t="s">
        <v>2880</v>
      </c>
      <c r="F959" s="50">
        <v>8</v>
      </c>
    </row>
    <row r="960" spans="1:6" ht="20.100000000000001" customHeight="1">
      <c r="A960" s="44">
        <v>957</v>
      </c>
      <c r="B960" s="45">
        <v>2019</v>
      </c>
      <c r="C960" s="47" t="s">
        <v>1724</v>
      </c>
      <c r="D960" s="45" t="s">
        <v>1728</v>
      </c>
      <c r="E960" s="45" t="s">
        <v>2881</v>
      </c>
      <c r="F960" s="50">
        <v>29.6</v>
      </c>
    </row>
    <row r="961" spans="1:6" ht="20.100000000000001" customHeight="1">
      <c r="A961" s="44">
        <v>958</v>
      </c>
      <c r="B961" s="45">
        <v>2019</v>
      </c>
      <c r="C961" s="47" t="s">
        <v>8</v>
      </c>
      <c r="D961" s="45" t="s">
        <v>839</v>
      </c>
      <c r="E961" s="45" t="s">
        <v>1445</v>
      </c>
      <c r="F961" s="50">
        <v>7</v>
      </c>
    </row>
    <row r="962" spans="1:6" ht="20.100000000000001" customHeight="1">
      <c r="A962" s="44">
        <v>959</v>
      </c>
      <c r="B962" s="45">
        <v>2019</v>
      </c>
      <c r="C962" s="47" t="s">
        <v>8</v>
      </c>
      <c r="D962" s="45" t="s">
        <v>840</v>
      </c>
      <c r="E962" s="45" t="s">
        <v>1446</v>
      </c>
      <c r="F962" s="50">
        <v>6</v>
      </c>
    </row>
    <row r="963" spans="1:6" ht="20.100000000000001" customHeight="1">
      <c r="A963" s="44">
        <v>960</v>
      </c>
      <c r="B963" s="45">
        <v>2019</v>
      </c>
      <c r="C963" s="47" t="s">
        <v>8</v>
      </c>
      <c r="D963" s="45" t="s">
        <v>1467</v>
      </c>
      <c r="E963" s="45" t="s">
        <v>2928</v>
      </c>
      <c r="F963" s="50">
        <v>22</v>
      </c>
    </row>
    <row r="964" spans="1:6" ht="20.100000000000001" customHeight="1">
      <c r="A964" s="44">
        <v>961</v>
      </c>
      <c r="B964" s="45">
        <v>2019</v>
      </c>
      <c r="C964" s="47" t="s">
        <v>8</v>
      </c>
      <c r="D964" s="45" t="s">
        <v>842</v>
      </c>
      <c r="E964" s="45" t="s">
        <v>2929</v>
      </c>
      <c r="F964" s="50">
        <v>15.6</v>
      </c>
    </row>
    <row r="965" spans="1:6" ht="20.100000000000001" customHeight="1">
      <c r="A965" s="44">
        <v>962</v>
      </c>
      <c r="B965" s="45">
        <v>2019</v>
      </c>
      <c r="C965" s="47" t="s">
        <v>8</v>
      </c>
      <c r="D965" s="45" t="s">
        <v>841</v>
      </c>
      <c r="E965" s="45" t="s">
        <v>2930</v>
      </c>
      <c r="F965" s="50">
        <v>15.6</v>
      </c>
    </row>
    <row r="966" spans="1:6" ht="20.100000000000001" customHeight="1">
      <c r="A966" s="44">
        <v>963</v>
      </c>
      <c r="B966" s="45">
        <v>2019</v>
      </c>
      <c r="C966" s="47" t="s">
        <v>8</v>
      </c>
      <c r="D966" s="45" t="s">
        <v>843</v>
      </c>
      <c r="E966" s="45" t="s">
        <v>2924</v>
      </c>
      <c r="F966" s="50">
        <v>8</v>
      </c>
    </row>
    <row r="967" spans="1:6" ht="20.100000000000001" customHeight="1">
      <c r="A967" s="44">
        <v>964</v>
      </c>
      <c r="B967" s="45">
        <v>2019</v>
      </c>
      <c r="C967" s="47" t="s">
        <v>8</v>
      </c>
      <c r="D967" s="45" t="s">
        <v>1457</v>
      </c>
      <c r="E967" s="45" t="s">
        <v>2923</v>
      </c>
      <c r="F967" s="50">
        <v>12</v>
      </c>
    </row>
    <row r="968" spans="1:6" ht="20.100000000000001" customHeight="1">
      <c r="A968" s="44">
        <v>965</v>
      </c>
      <c r="B968" s="45">
        <v>2019</v>
      </c>
      <c r="C968" s="47" t="s">
        <v>8</v>
      </c>
      <c r="D968" s="45" t="s">
        <v>1447</v>
      </c>
      <c r="E968" s="45" t="s">
        <v>2925</v>
      </c>
      <c r="F968" s="50">
        <v>5.25</v>
      </c>
    </row>
    <row r="969" spans="1:6" ht="20.100000000000001" customHeight="1">
      <c r="A969" s="44">
        <v>966</v>
      </c>
      <c r="B969" s="45">
        <v>2019</v>
      </c>
      <c r="C969" s="47" t="s">
        <v>8</v>
      </c>
      <c r="D969" s="45" t="s">
        <v>1448</v>
      </c>
      <c r="E969" s="45" t="s">
        <v>2926</v>
      </c>
      <c r="F969" s="50">
        <v>9</v>
      </c>
    </row>
    <row r="970" spans="1:6" ht="20.100000000000001" customHeight="1">
      <c r="A970" s="44">
        <v>967</v>
      </c>
      <c r="B970" s="45">
        <v>2019</v>
      </c>
      <c r="C970" s="47" t="s">
        <v>8</v>
      </c>
      <c r="D970" s="45" t="s">
        <v>844</v>
      </c>
      <c r="E970" s="45" t="s">
        <v>2927</v>
      </c>
      <c r="F970" s="50">
        <v>46</v>
      </c>
    </row>
    <row r="971" spans="1:6" ht="20.100000000000001" customHeight="1">
      <c r="A971" s="44">
        <v>968</v>
      </c>
      <c r="B971" s="45">
        <v>2019</v>
      </c>
      <c r="C971" s="47" t="s">
        <v>23</v>
      </c>
      <c r="D971" s="45" t="s">
        <v>1663</v>
      </c>
      <c r="E971" s="45" t="s">
        <v>2812</v>
      </c>
      <c r="F971" s="50">
        <v>32</v>
      </c>
    </row>
    <row r="972" spans="1:6" ht="20.100000000000001" customHeight="1">
      <c r="A972" s="44">
        <v>969</v>
      </c>
      <c r="B972" s="45">
        <v>2019</v>
      </c>
      <c r="C972" s="47" t="s">
        <v>23</v>
      </c>
      <c r="D972" s="45" t="s">
        <v>2698</v>
      </c>
      <c r="E972" s="45" t="s">
        <v>2699</v>
      </c>
      <c r="F972" s="50">
        <v>71.28</v>
      </c>
    </row>
    <row r="973" spans="1:6" ht="20.100000000000001" customHeight="1">
      <c r="A973" s="44">
        <v>970</v>
      </c>
      <c r="B973" s="45">
        <v>2019</v>
      </c>
      <c r="C973" s="47" t="s">
        <v>23</v>
      </c>
      <c r="D973" s="45" t="s">
        <v>2813</v>
      </c>
      <c r="E973" s="45" t="s">
        <v>2814</v>
      </c>
      <c r="F973" s="50">
        <v>9</v>
      </c>
    </row>
    <row r="974" spans="1:6" ht="20.100000000000001" customHeight="1">
      <c r="A974" s="44">
        <v>971</v>
      </c>
      <c r="B974" s="45">
        <v>2019</v>
      </c>
      <c r="C974" s="47" t="s">
        <v>23</v>
      </c>
      <c r="D974" s="45" t="s">
        <v>845</v>
      </c>
      <c r="E974" s="45" t="s">
        <v>2807</v>
      </c>
      <c r="F974" s="50">
        <v>27</v>
      </c>
    </row>
    <row r="975" spans="1:6" ht="20.100000000000001" customHeight="1">
      <c r="A975" s="44">
        <v>972</v>
      </c>
      <c r="B975" s="45">
        <v>2016</v>
      </c>
      <c r="C975" s="47" t="s">
        <v>23</v>
      </c>
      <c r="D975" s="45" t="s">
        <v>846</v>
      </c>
      <c r="E975" s="45" t="s">
        <v>2815</v>
      </c>
      <c r="F975" s="50">
        <v>9</v>
      </c>
    </row>
    <row r="976" spans="1:6" ht="20.100000000000001" customHeight="1">
      <c r="A976" s="44">
        <v>973</v>
      </c>
      <c r="B976" s="44">
        <v>2019</v>
      </c>
      <c r="C976" s="41" t="s">
        <v>86</v>
      </c>
      <c r="D976" s="44" t="s">
        <v>847</v>
      </c>
      <c r="E976" s="44" t="s">
        <v>1996</v>
      </c>
      <c r="F976" s="50">
        <v>6.48</v>
      </c>
    </row>
    <row r="977" spans="1:6" ht="20.100000000000001" customHeight="1">
      <c r="A977" s="44">
        <v>974</v>
      </c>
      <c r="B977" s="45">
        <v>2019</v>
      </c>
      <c r="C977" s="47" t="s">
        <v>88</v>
      </c>
      <c r="D977" s="45" t="s">
        <v>848</v>
      </c>
      <c r="E977" s="45" t="s">
        <v>1018</v>
      </c>
      <c r="F977" s="55">
        <v>13.26</v>
      </c>
    </row>
    <row r="978" spans="1:6" ht="20.100000000000001" customHeight="1">
      <c r="A978" s="44">
        <v>975</v>
      </c>
      <c r="B978" s="44">
        <v>2019</v>
      </c>
      <c r="C978" s="41" t="s">
        <v>14</v>
      </c>
      <c r="D978" s="44" t="s">
        <v>1450</v>
      </c>
      <c r="E978" s="44" t="s">
        <v>1249</v>
      </c>
      <c r="F978" s="50">
        <v>9</v>
      </c>
    </row>
    <row r="979" spans="1:6" ht="20.100000000000001" customHeight="1">
      <c r="A979" s="44">
        <v>976</v>
      </c>
      <c r="B979" s="44">
        <v>2019</v>
      </c>
      <c r="C979" s="41" t="s">
        <v>14</v>
      </c>
      <c r="D979" s="44" t="s">
        <v>849</v>
      </c>
      <c r="E979" s="44" t="s">
        <v>1449</v>
      </c>
      <c r="F979" s="50">
        <v>3.08</v>
      </c>
    </row>
    <row r="980" spans="1:6" ht="20.100000000000001" customHeight="1">
      <c r="A980" s="44">
        <v>977</v>
      </c>
      <c r="B980" s="45">
        <v>2019</v>
      </c>
      <c r="C980" s="47" t="s">
        <v>43</v>
      </c>
      <c r="D980" s="45" t="s">
        <v>851</v>
      </c>
      <c r="E980" s="45" t="s">
        <v>2779</v>
      </c>
      <c r="F980" s="50">
        <v>80.08</v>
      </c>
    </row>
    <row r="981" spans="1:6" ht="20.100000000000001" customHeight="1">
      <c r="A981" s="44">
        <v>978</v>
      </c>
      <c r="B981" s="45">
        <v>2019</v>
      </c>
      <c r="C981" s="47" t="s">
        <v>43</v>
      </c>
      <c r="D981" s="45" t="s">
        <v>850</v>
      </c>
      <c r="E981" s="45" t="s">
        <v>2780</v>
      </c>
      <c r="F981" s="50">
        <v>10.14</v>
      </c>
    </row>
    <row r="982" spans="1:6" ht="20.100000000000001" customHeight="1">
      <c r="A982" s="44">
        <v>979</v>
      </c>
      <c r="B982" s="44">
        <v>2019</v>
      </c>
      <c r="C982" s="41" t="s">
        <v>26</v>
      </c>
      <c r="D982" s="44" t="s">
        <v>855</v>
      </c>
      <c r="E982" s="44" t="s">
        <v>1997</v>
      </c>
      <c r="F982" s="50">
        <v>2</v>
      </c>
    </row>
    <row r="983" spans="1:6" ht="20.100000000000001" customHeight="1">
      <c r="A983" s="44">
        <v>980</v>
      </c>
      <c r="B983" s="44">
        <v>2019</v>
      </c>
      <c r="C983" s="41" t="s">
        <v>26</v>
      </c>
      <c r="D983" s="44" t="s">
        <v>853</v>
      </c>
      <c r="E983" s="44" t="s">
        <v>2760</v>
      </c>
      <c r="F983" s="50">
        <v>18</v>
      </c>
    </row>
    <row r="984" spans="1:6" ht="20.100000000000001" customHeight="1">
      <c r="A984" s="44">
        <v>981</v>
      </c>
      <c r="B984" s="44">
        <v>2019</v>
      </c>
      <c r="C984" s="41" t="s">
        <v>26</v>
      </c>
      <c r="D984" s="44" t="s">
        <v>852</v>
      </c>
      <c r="E984" s="44" t="s">
        <v>2761</v>
      </c>
      <c r="F984" s="50">
        <v>3.24</v>
      </c>
    </row>
    <row r="985" spans="1:6" ht="20.100000000000001" customHeight="1">
      <c r="A985" s="44">
        <v>982</v>
      </c>
      <c r="B985" s="44">
        <v>2019</v>
      </c>
      <c r="C985" s="41" t="s">
        <v>26</v>
      </c>
      <c r="D985" s="44" t="s">
        <v>854</v>
      </c>
      <c r="E985" s="44" t="s">
        <v>2762</v>
      </c>
      <c r="F985" s="50">
        <v>25</v>
      </c>
    </row>
    <row r="986" spans="1:6" ht="20.100000000000001" customHeight="1">
      <c r="A986" s="44">
        <v>983</v>
      </c>
      <c r="B986" s="44">
        <v>2019</v>
      </c>
      <c r="C986" s="41" t="s">
        <v>70</v>
      </c>
      <c r="D986" s="44" t="s">
        <v>856</v>
      </c>
      <c r="E986" s="44" t="s">
        <v>2113</v>
      </c>
      <c r="F986" s="50">
        <v>23.04</v>
      </c>
    </row>
    <row r="987" spans="1:6" ht="20.100000000000001" customHeight="1">
      <c r="A987" s="44">
        <v>984</v>
      </c>
      <c r="B987" s="45">
        <v>2019</v>
      </c>
      <c r="C987" s="47" t="s">
        <v>13</v>
      </c>
      <c r="D987" s="45" t="s">
        <v>974</v>
      </c>
      <c r="E987" s="45" t="s">
        <v>975</v>
      </c>
      <c r="F987" s="50">
        <v>26.645</v>
      </c>
    </row>
    <row r="988" spans="1:6" ht="20.100000000000001" customHeight="1">
      <c r="A988" s="44">
        <v>985</v>
      </c>
      <c r="B988" s="45">
        <v>2019</v>
      </c>
      <c r="C988" s="47" t="s">
        <v>13</v>
      </c>
      <c r="D988" s="45" t="s">
        <v>966</v>
      </c>
      <c r="E988" s="45" t="s">
        <v>967</v>
      </c>
      <c r="F988" s="50">
        <v>10.5</v>
      </c>
    </row>
    <row r="989" spans="1:6" ht="20.100000000000001" customHeight="1">
      <c r="A989" s="44">
        <v>986</v>
      </c>
      <c r="B989" s="45">
        <v>2019</v>
      </c>
      <c r="C989" s="47" t="s">
        <v>13</v>
      </c>
      <c r="D989" s="45" t="s">
        <v>972</v>
      </c>
      <c r="E989" s="45" t="s">
        <v>973</v>
      </c>
      <c r="F989" s="50">
        <v>10.8</v>
      </c>
    </row>
    <row r="990" spans="1:6" ht="20.100000000000001" customHeight="1">
      <c r="A990" s="44">
        <v>987</v>
      </c>
      <c r="B990" s="45">
        <v>2019</v>
      </c>
      <c r="C990" s="47" t="s">
        <v>13</v>
      </c>
      <c r="D990" s="45" t="s">
        <v>959</v>
      </c>
      <c r="E990" s="45" t="s">
        <v>960</v>
      </c>
      <c r="F990" s="50">
        <v>15.21</v>
      </c>
    </row>
    <row r="991" spans="1:6" ht="20.100000000000001" customHeight="1">
      <c r="A991" s="44">
        <v>988</v>
      </c>
      <c r="B991" s="45">
        <v>2019</v>
      </c>
      <c r="C991" s="47" t="s">
        <v>13</v>
      </c>
      <c r="D991" s="45" t="s">
        <v>957</v>
      </c>
      <c r="E991" s="45" t="s">
        <v>958</v>
      </c>
      <c r="F991" s="50">
        <v>6</v>
      </c>
    </row>
    <row r="992" spans="1:6" ht="20.100000000000001" customHeight="1">
      <c r="A992" s="44">
        <v>989</v>
      </c>
      <c r="B992" s="45">
        <v>2019</v>
      </c>
      <c r="C992" s="47" t="s">
        <v>19</v>
      </c>
      <c r="D992" s="45" t="s">
        <v>857</v>
      </c>
      <c r="E992" s="45" t="s">
        <v>1451</v>
      </c>
      <c r="F992" s="50">
        <v>10.8</v>
      </c>
    </row>
    <row r="993" spans="1:6" ht="20.100000000000001" customHeight="1">
      <c r="A993" s="44">
        <v>990</v>
      </c>
      <c r="B993" s="45">
        <v>2019</v>
      </c>
      <c r="C993" s="47" t="s">
        <v>19</v>
      </c>
      <c r="D993" s="45" t="s">
        <v>2861</v>
      </c>
      <c r="E993" s="45" t="s">
        <v>2862</v>
      </c>
      <c r="F993" s="50">
        <v>2.1</v>
      </c>
    </row>
    <row r="994" spans="1:6" ht="20.100000000000001" customHeight="1">
      <c r="A994" s="44">
        <v>991</v>
      </c>
      <c r="B994" s="45">
        <v>2019</v>
      </c>
      <c r="C994" s="47" t="s">
        <v>19</v>
      </c>
      <c r="D994" s="45" t="s">
        <v>858</v>
      </c>
      <c r="E994" s="45" t="s">
        <v>2863</v>
      </c>
      <c r="F994" s="50">
        <v>46</v>
      </c>
    </row>
    <row r="995" spans="1:6" ht="20.100000000000001" customHeight="1">
      <c r="A995" s="44">
        <v>992</v>
      </c>
      <c r="B995" s="45">
        <v>2019</v>
      </c>
      <c r="C995" s="47" t="s">
        <v>2006</v>
      </c>
      <c r="D995" s="45" t="s">
        <v>867</v>
      </c>
      <c r="E995" s="45" t="s">
        <v>2007</v>
      </c>
      <c r="F995" s="50">
        <v>47</v>
      </c>
    </row>
    <row r="996" spans="1:6" ht="20.100000000000001" customHeight="1">
      <c r="A996" s="44">
        <v>993</v>
      </c>
      <c r="B996" s="45">
        <v>2019</v>
      </c>
      <c r="C996" s="47" t="s">
        <v>16</v>
      </c>
      <c r="D996" s="45" t="s">
        <v>859</v>
      </c>
      <c r="E996" s="45" t="s">
        <v>1998</v>
      </c>
      <c r="F996" s="50">
        <v>2.25</v>
      </c>
    </row>
    <row r="997" spans="1:6" ht="20.100000000000001" customHeight="1">
      <c r="A997" s="44">
        <v>994</v>
      </c>
      <c r="B997" s="45">
        <v>2019</v>
      </c>
      <c r="C997" s="47" t="s">
        <v>16</v>
      </c>
      <c r="D997" s="45" t="s">
        <v>861</v>
      </c>
      <c r="E997" s="45" t="s">
        <v>2000</v>
      </c>
      <c r="F997" s="50">
        <v>3</v>
      </c>
    </row>
    <row r="998" spans="1:6" ht="20.100000000000001" customHeight="1">
      <c r="A998" s="44">
        <v>995</v>
      </c>
      <c r="B998" s="45">
        <v>2019</v>
      </c>
      <c r="C998" s="47" t="s">
        <v>16</v>
      </c>
      <c r="D998" s="45" t="s">
        <v>863</v>
      </c>
      <c r="E998" s="45" t="s">
        <v>2002</v>
      </c>
      <c r="F998" s="50">
        <v>3</v>
      </c>
    </row>
    <row r="999" spans="1:6" ht="20.100000000000001" customHeight="1">
      <c r="A999" s="44">
        <v>996</v>
      </c>
      <c r="B999" s="45">
        <v>2019</v>
      </c>
      <c r="C999" s="47" t="s">
        <v>16</v>
      </c>
      <c r="D999" s="45" t="s">
        <v>864</v>
      </c>
      <c r="E999" s="45" t="s">
        <v>2003</v>
      </c>
      <c r="F999" s="50">
        <v>3</v>
      </c>
    </row>
    <row r="1000" spans="1:6" ht="20.100000000000001" customHeight="1">
      <c r="A1000" s="44">
        <v>997</v>
      </c>
      <c r="B1000" s="45">
        <v>2019</v>
      </c>
      <c r="C1000" s="47" t="s">
        <v>16</v>
      </c>
      <c r="D1000" s="45" t="s">
        <v>866</v>
      </c>
      <c r="E1000" s="45" t="s">
        <v>2005</v>
      </c>
      <c r="F1000" s="50">
        <v>48.6</v>
      </c>
    </row>
    <row r="1001" spans="1:6" ht="20.100000000000001" customHeight="1">
      <c r="A1001" s="44">
        <v>998</v>
      </c>
      <c r="B1001" s="45">
        <v>2019</v>
      </c>
      <c r="C1001" s="47" t="s">
        <v>16</v>
      </c>
      <c r="D1001" s="45" t="s">
        <v>865</v>
      </c>
      <c r="E1001" s="45" t="s">
        <v>2004</v>
      </c>
      <c r="F1001" s="50">
        <v>3</v>
      </c>
    </row>
    <row r="1002" spans="1:6" ht="20.100000000000001" customHeight="1">
      <c r="A1002" s="44">
        <v>999</v>
      </c>
      <c r="B1002" s="45">
        <v>2019</v>
      </c>
      <c r="C1002" s="47" t="s">
        <v>16</v>
      </c>
      <c r="D1002" s="45" t="s">
        <v>860</v>
      </c>
      <c r="E1002" s="45" t="s">
        <v>1999</v>
      </c>
      <c r="F1002" s="50">
        <v>3.75</v>
      </c>
    </row>
    <row r="1003" spans="1:6" ht="20.100000000000001" customHeight="1">
      <c r="A1003" s="44">
        <v>1000</v>
      </c>
      <c r="B1003" s="45">
        <v>2019</v>
      </c>
      <c r="C1003" s="47" t="s">
        <v>16</v>
      </c>
      <c r="D1003" s="45" t="s">
        <v>862</v>
      </c>
      <c r="E1003" s="45" t="s">
        <v>2001</v>
      </c>
      <c r="F1003" s="50">
        <v>3</v>
      </c>
    </row>
    <row r="1004" spans="1:6" ht="20.100000000000001" customHeight="1">
      <c r="A1004" s="44">
        <v>1001</v>
      </c>
      <c r="B1004" s="45">
        <v>2019</v>
      </c>
      <c r="C1004" s="45" t="s">
        <v>16</v>
      </c>
      <c r="D1004" s="45" t="s">
        <v>2150</v>
      </c>
      <c r="E1004" s="43" t="s">
        <v>2922</v>
      </c>
      <c r="F1004" s="50">
        <v>3</v>
      </c>
    </row>
    <row r="1005" spans="1:6" ht="20.100000000000001" customHeight="1">
      <c r="A1005" s="44">
        <v>1002</v>
      </c>
      <c r="B1005" s="45">
        <v>2019</v>
      </c>
      <c r="C1005" s="45" t="s">
        <v>16</v>
      </c>
      <c r="D1005" s="45" t="s">
        <v>2151</v>
      </c>
      <c r="E1005" s="43" t="s">
        <v>2921</v>
      </c>
      <c r="F1005" s="50">
        <v>3</v>
      </c>
    </row>
    <row r="1006" spans="1:6" ht="20.100000000000001" customHeight="1">
      <c r="A1006" s="44">
        <v>1003</v>
      </c>
      <c r="B1006" s="45">
        <v>2019</v>
      </c>
      <c r="C1006" s="47" t="s">
        <v>64</v>
      </c>
      <c r="D1006" s="45" t="s">
        <v>1795</v>
      </c>
      <c r="E1006" s="45" t="s">
        <v>1796</v>
      </c>
      <c r="F1006" s="50">
        <v>40</v>
      </c>
    </row>
    <row r="1007" spans="1:6" ht="20.100000000000001" customHeight="1">
      <c r="A1007" s="44">
        <v>1004</v>
      </c>
      <c r="B1007" s="45">
        <v>2019</v>
      </c>
      <c r="C1007" s="47" t="s">
        <v>64</v>
      </c>
      <c r="D1007" s="45" t="s">
        <v>868</v>
      </c>
      <c r="E1007" s="45" t="s">
        <v>1794</v>
      </c>
      <c r="F1007" s="50">
        <v>25</v>
      </c>
    </row>
    <row r="1008" spans="1:6" ht="20.100000000000001" customHeight="1">
      <c r="A1008" s="44">
        <v>1005</v>
      </c>
      <c r="B1008" s="45">
        <v>2019</v>
      </c>
      <c r="C1008" s="47" t="s">
        <v>37</v>
      </c>
      <c r="D1008" s="45" t="s">
        <v>869</v>
      </c>
      <c r="E1008" s="45" t="s">
        <v>1210</v>
      </c>
      <c r="F1008" s="56">
        <v>36.630000000000003</v>
      </c>
    </row>
    <row r="1009" spans="1:6" ht="20.100000000000001" customHeight="1">
      <c r="A1009" s="44">
        <v>1006</v>
      </c>
      <c r="B1009" s="44">
        <v>2019</v>
      </c>
      <c r="C1009" s="44" t="s">
        <v>29</v>
      </c>
      <c r="D1009" s="44" t="s">
        <v>870</v>
      </c>
      <c r="E1009" s="44" t="s">
        <v>1664</v>
      </c>
      <c r="F1009" s="50">
        <v>15</v>
      </c>
    </row>
    <row r="1010" spans="1:6" ht="20.100000000000001" customHeight="1">
      <c r="A1010" s="44">
        <v>1007</v>
      </c>
      <c r="B1010" s="44">
        <v>2019</v>
      </c>
      <c r="C1010" s="44" t="s">
        <v>29</v>
      </c>
      <c r="D1010" s="44" t="s">
        <v>1665</v>
      </c>
      <c r="E1010" s="44" t="s">
        <v>1666</v>
      </c>
      <c r="F1010" s="50">
        <v>15</v>
      </c>
    </row>
    <row r="1011" spans="1:6" ht="20.100000000000001" customHeight="1">
      <c r="A1011" s="44">
        <v>1008</v>
      </c>
      <c r="B1011" s="44">
        <v>2019</v>
      </c>
      <c r="C1011" s="41" t="s">
        <v>104</v>
      </c>
      <c r="D1011" s="44" t="s">
        <v>1667</v>
      </c>
      <c r="E1011" s="44" t="s">
        <v>2713</v>
      </c>
      <c r="F1011" s="50">
        <v>30.6</v>
      </c>
    </row>
    <row r="1012" spans="1:6" ht="20.100000000000001" customHeight="1">
      <c r="A1012" s="44">
        <v>1009</v>
      </c>
      <c r="B1012" s="44">
        <v>2019</v>
      </c>
      <c r="C1012" s="69" t="s">
        <v>104</v>
      </c>
      <c r="D1012" s="44" t="s">
        <v>874</v>
      </c>
      <c r="E1012" s="44" t="s">
        <v>1670</v>
      </c>
      <c r="F1012" s="50">
        <v>3.3</v>
      </c>
    </row>
    <row r="1013" spans="1:6" ht="20.100000000000001" customHeight="1">
      <c r="A1013" s="44">
        <v>1010</v>
      </c>
      <c r="B1013" s="44">
        <v>2019</v>
      </c>
      <c r="C1013" s="41" t="s">
        <v>104</v>
      </c>
      <c r="D1013" s="44" t="s">
        <v>871</v>
      </c>
      <c r="E1013" s="44" t="s">
        <v>1668</v>
      </c>
      <c r="F1013" s="50">
        <v>3</v>
      </c>
    </row>
    <row r="1014" spans="1:6" ht="20.100000000000001" customHeight="1">
      <c r="A1014" s="44">
        <v>1011</v>
      </c>
      <c r="B1014" s="44">
        <v>2019</v>
      </c>
      <c r="C1014" s="69" t="s">
        <v>104</v>
      </c>
      <c r="D1014" s="44" t="s">
        <v>875</v>
      </c>
      <c r="E1014" s="44" t="s">
        <v>1671</v>
      </c>
      <c r="F1014" s="50">
        <v>3.3</v>
      </c>
    </row>
    <row r="1015" spans="1:6" ht="20.100000000000001" customHeight="1">
      <c r="A1015" s="44">
        <v>1012</v>
      </c>
      <c r="B1015" s="44">
        <v>2019</v>
      </c>
      <c r="C1015" s="41" t="s">
        <v>104</v>
      </c>
      <c r="D1015" s="44" t="s">
        <v>873</v>
      </c>
      <c r="E1015" s="44" t="s">
        <v>2714</v>
      </c>
      <c r="F1015" s="50">
        <v>7.56</v>
      </c>
    </row>
    <row r="1016" spans="1:6" ht="20.100000000000001" customHeight="1">
      <c r="A1016" s="44">
        <v>1013</v>
      </c>
      <c r="B1016" s="44">
        <v>2019</v>
      </c>
      <c r="C1016" s="41" t="s">
        <v>104</v>
      </c>
      <c r="D1016" s="44" t="s">
        <v>872</v>
      </c>
      <c r="E1016" s="44" t="s">
        <v>1669</v>
      </c>
      <c r="F1016" s="50">
        <v>12.96</v>
      </c>
    </row>
    <row r="1017" spans="1:6" ht="20.100000000000001" customHeight="1">
      <c r="A1017" s="44">
        <v>1014</v>
      </c>
      <c r="B1017" s="45">
        <v>2019</v>
      </c>
      <c r="C1017" s="44" t="s">
        <v>104</v>
      </c>
      <c r="D1017" s="45" t="s">
        <v>2182</v>
      </c>
      <c r="E1017" s="43" t="s">
        <v>2715</v>
      </c>
      <c r="F1017" s="50">
        <v>3</v>
      </c>
    </row>
    <row r="1018" spans="1:6" ht="20.100000000000001" customHeight="1">
      <c r="A1018" s="44">
        <v>1015</v>
      </c>
      <c r="B1018" s="44">
        <v>2019</v>
      </c>
      <c r="C1018" s="41" t="s">
        <v>31</v>
      </c>
      <c r="D1018" s="44" t="s">
        <v>1716</v>
      </c>
      <c r="E1018" s="44" t="s">
        <v>1715</v>
      </c>
      <c r="F1018" s="50">
        <v>8</v>
      </c>
    </row>
    <row r="1019" spans="1:6" ht="20.100000000000001" customHeight="1">
      <c r="A1019" s="44">
        <v>1016</v>
      </c>
      <c r="B1019" s="45">
        <v>2019</v>
      </c>
      <c r="C1019" s="47" t="s">
        <v>2943</v>
      </c>
      <c r="D1019" s="45" t="s">
        <v>876</v>
      </c>
      <c r="E1019" s="45" t="s">
        <v>2944</v>
      </c>
      <c r="F1019" s="50">
        <v>10.36</v>
      </c>
    </row>
    <row r="1020" spans="1:6" ht="20.100000000000001" customHeight="1">
      <c r="A1020" s="44">
        <v>1017</v>
      </c>
      <c r="B1020" s="45">
        <v>2019</v>
      </c>
      <c r="C1020" s="47" t="s">
        <v>34</v>
      </c>
      <c r="D1020" s="45" t="s">
        <v>2009</v>
      </c>
      <c r="E1020" s="45" t="s">
        <v>2010</v>
      </c>
      <c r="F1020" s="50">
        <v>2.4</v>
      </c>
    </row>
    <row r="1021" spans="1:6" ht="20.100000000000001" customHeight="1">
      <c r="A1021" s="44">
        <v>1018</v>
      </c>
      <c r="B1021" s="45">
        <v>2019</v>
      </c>
      <c r="C1021" s="47" t="s">
        <v>34</v>
      </c>
      <c r="D1021" s="45" t="s">
        <v>2744</v>
      </c>
      <c r="E1021" s="45" t="s">
        <v>2008</v>
      </c>
      <c r="F1021" s="50">
        <v>10.88</v>
      </c>
    </row>
    <row r="1022" spans="1:6" ht="20.100000000000001" customHeight="1">
      <c r="A1022" s="44">
        <v>1019</v>
      </c>
      <c r="B1022" s="44">
        <v>2019</v>
      </c>
      <c r="C1022" s="41" t="s">
        <v>33</v>
      </c>
      <c r="D1022" s="44" t="s">
        <v>877</v>
      </c>
      <c r="E1022" s="44" t="s">
        <v>1672</v>
      </c>
      <c r="F1022" s="50">
        <v>6.2</v>
      </c>
    </row>
    <row r="1023" spans="1:6" ht="20.100000000000001" customHeight="1">
      <c r="A1023" s="44">
        <v>1020</v>
      </c>
      <c r="B1023" s="44">
        <v>2019</v>
      </c>
      <c r="C1023" s="41" t="s">
        <v>33</v>
      </c>
      <c r="D1023" s="44" t="s">
        <v>878</v>
      </c>
      <c r="E1023" s="44" t="s">
        <v>2823</v>
      </c>
      <c r="F1023" s="50">
        <v>48.1</v>
      </c>
    </row>
    <row r="1024" spans="1:6" ht="20.100000000000001" customHeight="1">
      <c r="A1024" s="44">
        <v>1021</v>
      </c>
      <c r="B1024" s="44">
        <v>2019</v>
      </c>
      <c r="C1024" s="41" t="s">
        <v>33</v>
      </c>
      <c r="D1024" s="44" t="s">
        <v>879</v>
      </c>
      <c r="E1024" s="44" t="s">
        <v>2824</v>
      </c>
      <c r="F1024" s="50">
        <v>3.0449999999999999</v>
      </c>
    </row>
    <row r="1025" spans="1:6" ht="20.100000000000001" customHeight="1">
      <c r="A1025" s="44">
        <v>1022</v>
      </c>
      <c r="B1025" s="44">
        <v>2019</v>
      </c>
      <c r="C1025" s="41" t="s">
        <v>6</v>
      </c>
      <c r="D1025" s="44" t="s">
        <v>880</v>
      </c>
      <c r="E1025" s="44" t="s">
        <v>1452</v>
      </c>
      <c r="F1025" s="50">
        <v>28.718</v>
      </c>
    </row>
    <row r="1026" spans="1:6" ht="20.100000000000001" customHeight="1">
      <c r="A1026" s="44">
        <v>1023</v>
      </c>
      <c r="B1026" s="44">
        <v>2019</v>
      </c>
      <c r="C1026" s="41" t="s">
        <v>6</v>
      </c>
      <c r="D1026" s="44" t="s">
        <v>1458</v>
      </c>
      <c r="E1026" s="44" t="s">
        <v>1453</v>
      </c>
      <c r="F1026" s="50">
        <v>22.2</v>
      </c>
    </row>
    <row r="1027" spans="1:6" ht="20.100000000000001" customHeight="1">
      <c r="A1027" s="44">
        <v>1024</v>
      </c>
      <c r="B1027" s="44">
        <v>2019</v>
      </c>
      <c r="C1027" s="41" t="s">
        <v>3</v>
      </c>
      <c r="D1027" s="44" t="s">
        <v>2520</v>
      </c>
      <c r="E1027" s="44" t="s">
        <v>2708</v>
      </c>
      <c r="F1027" s="50">
        <v>80.19</v>
      </c>
    </row>
    <row r="1028" spans="1:6" ht="20.100000000000001" customHeight="1">
      <c r="A1028" s="44">
        <v>1025</v>
      </c>
      <c r="B1028" s="44">
        <v>2019</v>
      </c>
      <c r="C1028" s="41" t="s">
        <v>3</v>
      </c>
      <c r="D1028" s="44" t="s">
        <v>881</v>
      </c>
      <c r="E1028" s="44" t="s">
        <v>1108</v>
      </c>
      <c r="F1028" s="50">
        <v>15.54</v>
      </c>
    </row>
    <row r="1029" spans="1:6" ht="20.100000000000001" customHeight="1">
      <c r="A1029" s="44">
        <v>1026</v>
      </c>
      <c r="B1029" s="44">
        <v>2019</v>
      </c>
      <c r="C1029" s="41" t="s">
        <v>56</v>
      </c>
      <c r="D1029" s="44" t="s">
        <v>883</v>
      </c>
      <c r="E1029" s="44" t="s">
        <v>1760</v>
      </c>
      <c r="F1029" s="50">
        <v>22.8</v>
      </c>
    </row>
    <row r="1030" spans="1:6" ht="20.100000000000001" customHeight="1">
      <c r="A1030" s="44">
        <v>1027</v>
      </c>
      <c r="B1030" s="44">
        <v>2019</v>
      </c>
      <c r="C1030" s="41" t="s">
        <v>56</v>
      </c>
      <c r="D1030" s="44" t="s">
        <v>1757</v>
      </c>
      <c r="E1030" s="44" t="s">
        <v>1758</v>
      </c>
      <c r="F1030" s="50">
        <v>25</v>
      </c>
    </row>
    <row r="1031" spans="1:6" ht="20.100000000000001" customHeight="1">
      <c r="A1031" s="44">
        <v>1028</v>
      </c>
      <c r="B1031" s="44">
        <v>2019</v>
      </c>
      <c r="C1031" s="41" t="s">
        <v>56</v>
      </c>
      <c r="D1031" s="44" t="s">
        <v>882</v>
      </c>
      <c r="E1031" s="44" t="s">
        <v>1759</v>
      </c>
      <c r="F1031" s="50">
        <v>6</v>
      </c>
    </row>
    <row r="1032" spans="1:6" ht="20.100000000000001" customHeight="1">
      <c r="A1032" s="44">
        <v>1029</v>
      </c>
      <c r="B1032" s="44">
        <v>2019</v>
      </c>
      <c r="C1032" s="41" t="s">
        <v>57</v>
      </c>
      <c r="D1032" s="44" t="s">
        <v>885</v>
      </c>
      <c r="E1032" s="44" t="s">
        <v>1156</v>
      </c>
      <c r="F1032" s="50">
        <v>105</v>
      </c>
    </row>
    <row r="1033" spans="1:6" ht="20.100000000000001" customHeight="1">
      <c r="A1033" s="44">
        <v>1030</v>
      </c>
      <c r="B1033" s="44">
        <v>2019</v>
      </c>
      <c r="C1033" s="41" t="s">
        <v>57</v>
      </c>
      <c r="D1033" s="44" t="s">
        <v>1115</v>
      </c>
      <c r="E1033" s="44" t="s">
        <v>1116</v>
      </c>
      <c r="F1033" s="50">
        <v>37.799999999999997</v>
      </c>
    </row>
    <row r="1034" spans="1:6" ht="20.100000000000001" customHeight="1">
      <c r="A1034" s="44">
        <v>1031</v>
      </c>
      <c r="B1034" s="44">
        <v>2019</v>
      </c>
      <c r="C1034" s="41" t="s">
        <v>57</v>
      </c>
      <c r="D1034" s="44" t="s">
        <v>884</v>
      </c>
      <c r="E1034" s="44" t="s">
        <v>1135</v>
      </c>
      <c r="F1034" s="50">
        <v>7.8</v>
      </c>
    </row>
    <row r="1035" spans="1:6" ht="20.100000000000001" customHeight="1">
      <c r="A1035" s="44">
        <v>1032</v>
      </c>
      <c r="B1035" s="45">
        <v>2020</v>
      </c>
      <c r="C1035" s="44" t="s">
        <v>2132</v>
      </c>
      <c r="D1035" s="45" t="s">
        <v>2183</v>
      </c>
      <c r="E1035" s="43" t="s">
        <v>2184</v>
      </c>
      <c r="F1035" s="50">
        <v>12.75</v>
      </c>
    </row>
    <row r="1036" spans="1:6" ht="20.100000000000001" customHeight="1">
      <c r="A1036" s="44">
        <v>1033</v>
      </c>
      <c r="B1036" s="45">
        <v>2020</v>
      </c>
      <c r="C1036" s="44" t="s">
        <v>2132</v>
      </c>
      <c r="D1036" s="43" t="s">
        <v>2185</v>
      </c>
      <c r="E1036" s="43" t="s">
        <v>2186</v>
      </c>
      <c r="F1036" s="50">
        <v>15.75</v>
      </c>
    </row>
    <row r="1037" spans="1:6" ht="20.100000000000001" customHeight="1">
      <c r="A1037" s="44">
        <v>1034</v>
      </c>
      <c r="B1037" s="45">
        <v>2020</v>
      </c>
      <c r="C1037" s="44" t="s">
        <v>2133</v>
      </c>
      <c r="D1037" s="45" t="s">
        <v>2187</v>
      </c>
      <c r="E1037" s="43" t="s">
        <v>2029</v>
      </c>
      <c r="F1037" s="50">
        <v>9</v>
      </c>
    </row>
    <row r="1038" spans="1:6" ht="20.100000000000001" customHeight="1">
      <c r="A1038" s="44">
        <v>1035</v>
      </c>
      <c r="B1038" s="45">
        <v>2020</v>
      </c>
      <c r="C1038" s="44" t="s">
        <v>2133</v>
      </c>
      <c r="D1038" s="45" t="s">
        <v>2188</v>
      </c>
      <c r="E1038" s="43" t="s">
        <v>2031</v>
      </c>
      <c r="F1038" s="50">
        <v>6</v>
      </c>
    </row>
    <row r="1039" spans="1:6" ht="20.100000000000001" customHeight="1">
      <c r="A1039" s="44">
        <v>1036</v>
      </c>
      <c r="B1039" s="45">
        <v>2020</v>
      </c>
      <c r="C1039" s="44" t="s">
        <v>2134</v>
      </c>
      <c r="D1039" s="45" t="s">
        <v>2152</v>
      </c>
      <c r="E1039" s="43" t="s">
        <v>2019</v>
      </c>
      <c r="F1039" s="50">
        <v>9</v>
      </c>
    </row>
    <row r="1040" spans="1:6" s="59" customFormat="1" ht="20.100000000000001" customHeight="1">
      <c r="A1040" s="44">
        <v>1037</v>
      </c>
      <c r="B1040" s="57">
        <v>2020</v>
      </c>
      <c r="C1040" s="57" t="s">
        <v>278</v>
      </c>
      <c r="D1040" s="57" t="s">
        <v>2657</v>
      </c>
      <c r="E1040" s="70" t="s">
        <v>2658</v>
      </c>
      <c r="F1040" s="62">
        <v>9</v>
      </c>
    </row>
    <row r="1041" spans="1:6" ht="20.100000000000001" customHeight="1">
      <c r="A1041" s="44">
        <v>1038</v>
      </c>
      <c r="B1041" s="45">
        <v>2020</v>
      </c>
      <c r="C1041" s="44" t="s">
        <v>2134</v>
      </c>
      <c r="D1041" s="45" t="s">
        <v>2153</v>
      </c>
      <c r="E1041" s="43" t="s">
        <v>2573</v>
      </c>
      <c r="F1041" s="50">
        <v>12</v>
      </c>
    </row>
    <row r="1042" spans="1:6" ht="20.100000000000001" customHeight="1">
      <c r="A1042" s="44">
        <v>1039</v>
      </c>
      <c r="B1042" s="45">
        <v>2020</v>
      </c>
      <c r="C1042" s="44" t="s">
        <v>2134</v>
      </c>
      <c r="D1042" s="45" t="s">
        <v>2154</v>
      </c>
      <c r="E1042" s="43" t="s">
        <v>2574</v>
      </c>
      <c r="F1042" s="50">
        <v>28</v>
      </c>
    </row>
    <row r="1043" spans="1:6" ht="20.100000000000001" customHeight="1">
      <c r="A1043" s="44">
        <v>1040</v>
      </c>
      <c r="B1043" s="45">
        <v>2020</v>
      </c>
      <c r="C1043" s="44" t="s">
        <v>2134</v>
      </c>
      <c r="D1043" s="45" t="s">
        <v>2155</v>
      </c>
      <c r="E1043" s="44" t="s">
        <v>1341</v>
      </c>
      <c r="F1043" s="50">
        <v>12</v>
      </c>
    </row>
    <row r="1044" spans="1:6" ht="20.100000000000001" customHeight="1">
      <c r="A1044" s="44">
        <v>1041</v>
      </c>
      <c r="B1044" s="45">
        <v>2020</v>
      </c>
      <c r="C1044" s="44" t="s">
        <v>2135</v>
      </c>
      <c r="D1044" s="45" t="s">
        <v>2465</v>
      </c>
      <c r="E1044" s="43" t="s">
        <v>2157</v>
      </c>
      <c r="F1044" s="50">
        <v>120.84</v>
      </c>
    </row>
    <row r="1045" spans="1:6" ht="20.100000000000001" customHeight="1">
      <c r="A1045" s="44">
        <v>1042</v>
      </c>
      <c r="B1045" s="45">
        <v>2020</v>
      </c>
      <c r="C1045" s="44" t="s">
        <v>2135</v>
      </c>
      <c r="D1045" s="43" t="s">
        <v>2156</v>
      </c>
      <c r="E1045" s="43" t="s">
        <v>2157</v>
      </c>
      <c r="F1045" s="50">
        <v>18.239999999999998</v>
      </c>
    </row>
    <row r="1046" spans="1:6" ht="20.100000000000001" customHeight="1">
      <c r="A1046" s="44">
        <v>1043</v>
      </c>
      <c r="B1046" s="45">
        <v>2020</v>
      </c>
      <c r="C1046" s="47" t="s">
        <v>673</v>
      </c>
      <c r="D1046" s="45" t="s">
        <v>1219</v>
      </c>
      <c r="E1046" s="45" t="s">
        <v>1217</v>
      </c>
      <c r="F1046" s="50">
        <v>100.8</v>
      </c>
    </row>
    <row r="1047" spans="1:6" ht="20.100000000000001" customHeight="1">
      <c r="A1047" s="44">
        <v>1044</v>
      </c>
      <c r="B1047" s="45">
        <v>2020</v>
      </c>
      <c r="C1047" s="44" t="s">
        <v>2136</v>
      </c>
      <c r="D1047" s="45" t="s">
        <v>2189</v>
      </c>
      <c r="E1047" s="43" t="s">
        <v>2158</v>
      </c>
      <c r="F1047" s="50">
        <v>579.6</v>
      </c>
    </row>
    <row r="1048" spans="1:6" ht="20.100000000000001" customHeight="1">
      <c r="A1048" s="44">
        <v>1045</v>
      </c>
      <c r="B1048" s="45">
        <v>2020</v>
      </c>
      <c r="C1048" s="44" t="s">
        <v>2137</v>
      </c>
      <c r="D1048" s="45" t="s">
        <v>2190</v>
      </c>
      <c r="E1048" s="43" t="s">
        <v>2191</v>
      </c>
      <c r="F1048" s="50">
        <v>65</v>
      </c>
    </row>
    <row r="1049" spans="1:6" ht="20.100000000000001" customHeight="1">
      <c r="A1049" s="44">
        <v>1046</v>
      </c>
      <c r="B1049" s="45">
        <v>2020</v>
      </c>
      <c r="C1049" s="45" t="s">
        <v>2016</v>
      </c>
      <c r="D1049" s="45" t="s">
        <v>2680</v>
      </c>
      <c r="E1049" s="43" t="s">
        <v>2974</v>
      </c>
      <c r="F1049" s="50">
        <v>40.42</v>
      </c>
    </row>
    <row r="1050" spans="1:6" ht="20.100000000000001" customHeight="1">
      <c r="A1050" s="44">
        <v>1047</v>
      </c>
      <c r="B1050" s="45">
        <v>2020</v>
      </c>
      <c r="C1050" s="45" t="s">
        <v>1233</v>
      </c>
      <c r="D1050" s="45" t="s">
        <v>2192</v>
      </c>
      <c r="E1050" s="43" t="s">
        <v>2159</v>
      </c>
      <c r="F1050" s="50">
        <v>83.25</v>
      </c>
    </row>
    <row r="1051" spans="1:6" ht="20.100000000000001" customHeight="1">
      <c r="A1051" s="44">
        <v>1048</v>
      </c>
      <c r="B1051" s="45">
        <v>2020</v>
      </c>
      <c r="C1051" s="45" t="s">
        <v>1233</v>
      </c>
      <c r="D1051" s="45" t="s">
        <v>2193</v>
      </c>
      <c r="E1051" s="43" t="s">
        <v>2160</v>
      </c>
      <c r="F1051" s="50">
        <v>351</v>
      </c>
    </row>
    <row r="1052" spans="1:6" ht="20.100000000000001" customHeight="1">
      <c r="A1052" s="44">
        <v>1049</v>
      </c>
      <c r="B1052" s="45">
        <v>2020</v>
      </c>
      <c r="C1052" s="45" t="s">
        <v>1233</v>
      </c>
      <c r="D1052" s="45" t="s">
        <v>2161</v>
      </c>
      <c r="E1052" s="43" t="s">
        <v>2162</v>
      </c>
      <c r="F1052" s="50">
        <v>291</v>
      </c>
    </row>
    <row r="1053" spans="1:6" ht="20.100000000000001" customHeight="1">
      <c r="A1053" s="44">
        <v>1050</v>
      </c>
      <c r="B1053" s="45">
        <v>2020</v>
      </c>
      <c r="C1053" s="45" t="s">
        <v>1233</v>
      </c>
      <c r="D1053" s="45" t="s">
        <v>2163</v>
      </c>
      <c r="E1053" s="43" t="s">
        <v>2164</v>
      </c>
      <c r="F1053" s="50">
        <v>57.72</v>
      </c>
    </row>
    <row r="1054" spans="1:6" ht="20.100000000000001" customHeight="1">
      <c r="A1054" s="44">
        <v>1051</v>
      </c>
      <c r="B1054" s="45">
        <v>2020</v>
      </c>
      <c r="C1054" s="45" t="s">
        <v>1233</v>
      </c>
      <c r="D1054" s="45" t="s">
        <v>2194</v>
      </c>
      <c r="E1054" s="43" t="s">
        <v>2195</v>
      </c>
      <c r="F1054" s="50">
        <v>29.25</v>
      </c>
    </row>
    <row r="1055" spans="1:6" ht="20.100000000000001" customHeight="1">
      <c r="A1055" s="44">
        <v>1052</v>
      </c>
      <c r="B1055" s="45">
        <v>2020</v>
      </c>
      <c r="C1055" s="45" t="s">
        <v>1233</v>
      </c>
      <c r="D1055" s="45" t="s">
        <v>2196</v>
      </c>
      <c r="E1055" s="43" t="s">
        <v>2197</v>
      </c>
      <c r="F1055" s="50">
        <v>93.24</v>
      </c>
    </row>
    <row r="1056" spans="1:6" ht="20.100000000000001" customHeight="1">
      <c r="A1056" s="44">
        <v>1053</v>
      </c>
      <c r="B1056" s="44">
        <v>2020</v>
      </c>
      <c r="C1056" s="41" t="s">
        <v>2104</v>
      </c>
      <c r="D1056" s="45" t="s">
        <v>2298</v>
      </c>
      <c r="E1056" s="44" t="s">
        <v>2105</v>
      </c>
      <c r="F1056" s="50">
        <v>140.4</v>
      </c>
    </row>
    <row r="1057" spans="1:6" ht="20.100000000000001" customHeight="1">
      <c r="A1057" s="44">
        <v>1054</v>
      </c>
      <c r="B1057" s="44">
        <v>2020</v>
      </c>
      <c r="C1057" s="41" t="s">
        <v>2106</v>
      </c>
      <c r="D1057" s="44" t="s">
        <v>2107</v>
      </c>
      <c r="E1057" s="44" t="s">
        <v>2108</v>
      </c>
      <c r="F1057" s="50">
        <v>612.36</v>
      </c>
    </row>
    <row r="1058" spans="1:6" ht="20.100000000000001" customHeight="1">
      <c r="A1058" s="44">
        <v>1055</v>
      </c>
      <c r="B1058" s="44">
        <v>2020</v>
      </c>
      <c r="C1058" s="41" t="s">
        <v>2106</v>
      </c>
      <c r="D1058" s="44" t="s">
        <v>2109</v>
      </c>
      <c r="E1058" s="44" t="s">
        <v>2110</v>
      </c>
      <c r="F1058" s="50">
        <v>357.21</v>
      </c>
    </row>
    <row r="1059" spans="1:6" ht="20.100000000000001" customHeight="1">
      <c r="A1059" s="44">
        <v>1056</v>
      </c>
      <c r="B1059" s="44">
        <v>2020</v>
      </c>
      <c r="C1059" s="41" t="s">
        <v>2106</v>
      </c>
      <c r="D1059" s="44" t="s">
        <v>2111</v>
      </c>
      <c r="E1059" s="44" t="s">
        <v>2112</v>
      </c>
      <c r="F1059" s="50">
        <v>634.23</v>
      </c>
    </row>
    <row r="1060" spans="1:6" ht="20.100000000000001" customHeight="1">
      <c r="A1060" s="44">
        <v>1057</v>
      </c>
      <c r="B1060" s="45">
        <v>2020</v>
      </c>
      <c r="C1060" s="44" t="s">
        <v>1469</v>
      </c>
      <c r="D1060" s="45" t="s">
        <v>2198</v>
      </c>
      <c r="E1060" s="43" t="s">
        <v>2165</v>
      </c>
      <c r="F1060" s="50">
        <v>94.08</v>
      </c>
    </row>
    <row r="1061" spans="1:6" ht="20.100000000000001" customHeight="1">
      <c r="A1061" s="44">
        <v>1058</v>
      </c>
      <c r="B1061" s="37">
        <v>2020</v>
      </c>
      <c r="C1061" s="47" t="s">
        <v>2589</v>
      </c>
      <c r="D1061" s="45" t="s">
        <v>2314</v>
      </c>
      <c r="E1061" s="45" t="s">
        <v>2315</v>
      </c>
      <c r="F1061" s="50">
        <v>10.5</v>
      </c>
    </row>
    <row r="1062" spans="1:6" ht="20.100000000000001" customHeight="1">
      <c r="A1062" s="44">
        <v>1059</v>
      </c>
      <c r="B1062" s="45">
        <v>2020</v>
      </c>
      <c r="C1062" s="44" t="s">
        <v>2138</v>
      </c>
      <c r="D1062" s="45" t="s">
        <v>2199</v>
      </c>
      <c r="E1062" s="43" t="s">
        <v>2920</v>
      </c>
      <c r="F1062" s="50">
        <v>5.55</v>
      </c>
    </row>
    <row r="1063" spans="1:6" ht="20.100000000000001" customHeight="1">
      <c r="A1063" s="44">
        <v>1060</v>
      </c>
      <c r="B1063" s="45">
        <v>2020</v>
      </c>
      <c r="C1063" s="44" t="s">
        <v>2139</v>
      </c>
      <c r="D1063" s="45" t="s">
        <v>2200</v>
      </c>
      <c r="E1063" s="43" t="s">
        <v>2201</v>
      </c>
      <c r="F1063" s="50">
        <v>63</v>
      </c>
    </row>
    <row r="1064" spans="1:6" ht="20.100000000000001" customHeight="1">
      <c r="A1064" s="44">
        <v>1061</v>
      </c>
      <c r="B1064" s="45">
        <v>2020</v>
      </c>
      <c r="C1064" s="45" t="s">
        <v>55</v>
      </c>
      <c r="D1064" s="45" t="s">
        <v>2166</v>
      </c>
      <c r="E1064" s="43" t="s">
        <v>2882</v>
      </c>
      <c r="F1064" s="50">
        <v>3</v>
      </c>
    </row>
    <row r="1065" spans="1:6" ht="20.100000000000001" customHeight="1">
      <c r="A1065" s="44">
        <v>1062</v>
      </c>
      <c r="B1065" s="45">
        <v>2020</v>
      </c>
      <c r="C1065" s="45" t="s">
        <v>8</v>
      </c>
      <c r="D1065" s="45" t="s">
        <v>2202</v>
      </c>
      <c r="E1065" s="43" t="s">
        <v>2919</v>
      </c>
      <c r="F1065" s="50">
        <v>3</v>
      </c>
    </row>
    <row r="1066" spans="1:6" ht="20.100000000000001" customHeight="1">
      <c r="A1066" s="44">
        <v>1063</v>
      </c>
      <c r="B1066" s="45">
        <v>2020</v>
      </c>
      <c r="C1066" s="45" t="s">
        <v>8</v>
      </c>
      <c r="D1066" s="45" t="s">
        <v>2789</v>
      </c>
      <c r="E1066" s="43" t="s">
        <v>2918</v>
      </c>
      <c r="F1066" s="50">
        <v>5</v>
      </c>
    </row>
    <row r="1067" spans="1:6" ht="20.100000000000001" customHeight="1">
      <c r="A1067" s="44">
        <v>1064</v>
      </c>
      <c r="B1067" s="45">
        <v>2020</v>
      </c>
      <c r="C1067" s="45" t="s">
        <v>8</v>
      </c>
      <c r="D1067" s="45" t="s">
        <v>2203</v>
      </c>
      <c r="E1067" s="43" t="s">
        <v>2917</v>
      </c>
      <c r="F1067" s="50">
        <v>32.130000000000003</v>
      </c>
    </row>
    <row r="1068" spans="1:6" ht="20.100000000000001" customHeight="1">
      <c r="A1068" s="44">
        <v>1065</v>
      </c>
      <c r="B1068" s="45">
        <v>2020</v>
      </c>
      <c r="C1068" s="45" t="s">
        <v>2131</v>
      </c>
      <c r="D1068" s="45" t="s">
        <v>2296</v>
      </c>
      <c r="E1068" s="45" t="s">
        <v>2916</v>
      </c>
      <c r="F1068" s="50">
        <v>11</v>
      </c>
    </row>
    <row r="1069" spans="1:6" ht="20.100000000000001" customHeight="1">
      <c r="A1069" s="44">
        <v>1066</v>
      </c>
      <c r="B1069" s="45">
        <v>2020</v>
      </c>
      <c r="C1069" s="45" t="s">
        <v>23</v>
      </c>
      <c r="D1069" s="45" t="s">
        <v>2204</v>
      </c>
      <c r="E1069" s="43" t="s">
        <v>2816</v>
      </c>
      <c r="F1069" s="50">
        <v>10.14</v>
      </c>
    </row>
    <row r="1070" spans="1:6" ht="20.100000000000001" customHeight="1">
      <c r="A1070" s="44">
        <v>1067</v>
      </c>
      <c r="B1070" s="45">
        <v>2020</v>
      </c>
      <c r="C1070" s="45" t="s">
        <v>23</v>
      </c>
      <c r="D1070" s="45" t="s">
        <v>2205</v>
      </c>
      <c r="E1070" s="43" t="s">
        <v>2817</v>
      </c>
      <c r="F1070" s="50">
        <v>15.21</v>
      </c>
    </row>
    <row r="1071" spans="1:6" ht="20.100000000000001" customHeight="1">
      <c r="A1071" s="44">
        <v>1068</v>
      </c>
      <c r="B1071" s="45">
        <v>2020</v>
      </c>
      <c r="C1071" s="44" t="s">
        <v>2140</v>
      </c>
      <c r="D1071" s="45" t="s">
        <v>2167</v>
      </c>
      <c r="E1071" s="43" t="s">
        <v>2752</v>
      </c>
      <c r="F1071" s="50">
        <v>3</v>
      </c>
    </row>
    <row r="1072" spans="1:6" ht="20.100000000000001" customHeight="1">
      <c r="A1072" s="44">
        <v>1069</v>
      </c>
      <c r="B1072" s="45">
        <v>2020</v>
      </c>
      <c r="C1072" s="44" t="s">
        <v>2140</v>
      </c>
      <c r="D1072" s="45" t="s">
        <v>2206</v>
      </c>
      <c r="E1072" s="43" t="s">
        <v>2915</v>
      </c>
      <c r="F1072" s="50">
        <v>3.2</v>
      </c>
    </row>
    <row r="1073" spans="1:6" ht="20.100000000000001" customHeight="1">
      <c r="A1073" s="44">
        <v>1070</v>
      </c>
      <c r="B1073" s="45">
        <v>2020</v>
      </c>
      <c r="C1073" s="44" t="s">
        <v>2140</v>
      </c>
      <c r="D1073" s="45" t="s">
        <v>2168</v>
      </c>
      <c r="E1073" s="43" t="s">
        <v>2753</v>
      </c>
      <c r="F1073" s="50">
        <v>5</v>
      </c>
    </row>
    <row r="1074" spans="1:6" ht="20.100000000000001" customHeight="1">
      <c r="A1074" s="44">
        <v>1071</v>
      </c>
      <c r="B1074" s="45">
        <v>2020</v>
      </c>
      <c r="C1074" s="44" t="s">
        <v>2140</v>
      </c>
      <c r="D1074" s="45" t="s">
        <v>2207</v>
      </c>
      <c r="E1074" s="43" t="s">
        <v>2754</v>
      </c>
      <c r="F1074" s="50">
        <v>80.924999999999997</v>
      </c>
    </row>
    <row r="1075" spans="1:6" ht="20.100000000000001" customHeight="1">
      <c r="A1075" s="44">
        <v>1072</v>
      </c>
      <c r="B1075" s="45">
        <v>2020</v>
      </c>
      <c r="C1075" s="45" t="s">
        <v>43</v>
      </c>
      <c r="D1075" s="45" t="s">
        <v>2208</v>
      </c>
      <c r="E1075" s="43" t="s">
        <v>2781</v>
      </c>
      <c r="F1075" s="50">
        <v>8</v>
      </c>
    </row>
    <row r="1076" spans="1:6" ht="20.100000000000001" customHeight="1">
      <c r="A1076" s="44">
        <v>1073</v>
      </c>
      <c r="B1076" s="45">
        <v>2020</v>
      </c>
      <c r="C1076" s="45" t="s">
        <v>43</v>
      </c>
      <c r="D1076" s="45" t="s">
        <v>896</v>
      </c>
      <c r="E1076" s="43" t="s">
        <v>2782</v>
      </c>
      <c r="F1076" s="50">
        <v>42</v>
      </c>
    </row>
    <row r="1077" spans="1:6" ht="20.100000000000001" customHeight="1">
      <c r="A1077" s="44">
        <v>1074</v>
      </c>
      <c r="B1077" s="45">
        <v>2020</v>
      </c>
      <c r="C1077" s="44" t="s">
        <v>26</v>
      </c>
      <c r="D1077" s="45" t="s">
        <v>2209</v>
      </c>
      <c r="E1077" s="43" t="s">
        <v>2763</v>
      </c>
      <c r="F1077" s="50">
        <v>80.64</v>
      </c>
    </row>
    <row r="1078" spans="1:6" ht="20.100000000000001" customHeight="1">
      <c r="A1078" s="44">
        <v>1075</v>
      </c>
      <c r="B1078" s="45">
        <v>2020</v>
      </c>
      <c r="C1078" s="44" t="s">
        <v>26</v>
      </c>
      <c r="D1078" s="45" t="s">
        <v>2210</v>
      </c>
      <c r="E1078" s="43" t="s">
        <v>2764</v>
      </c>
      <c r="F1078" s="50">
        <v>11.25</v>
      </c>
    </row>
    <row r="1079" spans="1:6" ht="20.100000000000001" customHeight="1">
      <c r="A1079" s="44">
        <v>1076</v>
      </c>
      <c r="B1079" s="45">
        <v>2020</v>
      </c>
      <c r="C1079" s="44" t="s">
        <v>2141</v>
      </c>
      <c r="D1079" s="45" t="s">
        <v>2169</v>
      </c>
      <c r="E1079" s="43" t="s">
        <v>2765</v>
      </c>
      <c r="F1079" s="50">
        <v>3</v>
      </c>
    </row>
    <row r="1080" spans="1:6" ht="20.100000000000001" customHeight="1">
      <c r="A1080" s="44">
        <v>1077</v>
      </c>
      <c r="B1080" s="45">
        <v>2020</v>
      </c>
      <c r="C1080" s="44" t="s">
        <v>26</v>
      </c>
      <c r="D1080" s="45" t="s">
        <v>2211</v>
      </c>
      <c r="E1080" s="43" t="s">
        <v>2766</v>
      </c>
      <c r="F1080" s="50">
        <v>3</v>
      </c>
    </row>
    <row r="1081" spans="1:6" ht="20.100000000000001" customHeight="1">
      <c r="A1081" s="44">
        <v>1078</v>
      </c>
      <c r="B1081" s="45">
        <v>2020</v>
      </c>
      <c r="C1081" s="44" t="s">
        <v>2142</v>
      </c>
      <c r="D1081" s="45" t="s">
        <v>2212</v>
      </c>
      <c r="E1081" s="43" t="s">
        <v>2767</v>
      </c>
      <c r="F1081" s="50">
        <v>68.25</v>
      </c>
    </row>
    <row r="1082" spans="1:6" ht="20.100000000000001" customHeight="1">
      <c r="A1082" s="44">
        <v>1079</v>
      </c>
      <c r="B1082" s="45">
        <v>2020</v>
      </c>
      <c r="C1082" s="44" t="s">
        <v>2143</v>
      </c>
      <c r="D1082" s="45" t="s">
        <v>2213</v>
      </c>
      <c r="E1082" s="43" t="s">
        <v>2914</v>
      </c>
      <c r="F1082" s="50">
        <v>3.3359999999999999</v>
      </c>
    </row>
    <row r="1083" spans="1:6" ht="20.100000000000001" customHeight="1">
      <c r="A1083" s="44">
        <v>1080</v>
      </c>
      <c r="B1083" s="45">
        <v>2020</v>
      </c>
      <c r="C1083" s="45" t="s">
        <v>13</v>
      </c>
      <c r="D1083" s="45" t="s">
        <v>2970</v>
      </c>
      <c r="E1083" s="43" t="s">
        <v>2170</v>
      </c>
      <c r="F1083" s="50">
        <v>6.48</v>
      </c>
    </row>
    <row r="1084" spans="1:6" ht="20.100000000000001" customHeight="1">
      <c r="A1084" s="44">
        <v>1081</v>
      </c>
      <c r="B1084" s="45">
        <v>2020</v>
      </c>
      <c r="C1084" s="45" t="s">
        <v>13</v>
      </c>
      <c r="D1084" s="45" t="s">
        <v>2214</v>
      </c>
      <c r="E1084" s="43" t="s">
        <v>2215</v>
      </c>
      <c r="F1084" s="50">
        <v>6.48</v>
      </c>
    </row>
    <row r="1085" spans="1:6" ht="20.100000000000001" customHeight="1">
      <c r="A1085" s="44">
        <v>1082</v>
      </c>
      <c r="B1085" s="45">
        <v>2020</v>
      </c>
      <c r="C1085" s="45" t="s">
        <v>13</v>
      </c>
      <c r="D1085" s="45" t="s">
        <v>2216</v>
      </c>
      <c r="E1085" s="43" t="s">
        <v>2217</v>
      </c>
      <c r="F1085" s="50">
        <v>15.75</v>
      </c>
    </row>
    <row r="1086" spans="1:6" ht="20.100000000000001" customHeight="1">
      <c r="A1086" s="44">
        <v>1083</v>
      </c>
      <c r="B1086" s="45">
        <v>2020</v>
      </c>
      <c r="C1086" s="45" t="s">
        <v>2144</v>
      </c>
      <c r="D1086" s="45" t="s">
        <v>2218</v>
      </c>
      <c r="E1086" s="43" t="s">
        <v>2864</v>
      </c>
      <c r="F1086" s="50">
        <v>99.908000000000001</v>
      </c>
    </row>
    <row r="1087" spans="1:6" ht="20.100000000000001" customHeight="1">
      <c r="A1087" s="44">
        <v>1084</v>
      </c>
      <c r="B1087" s="45">
        <v>2020</v>
      </c>
      <c r="C1087" s="45" t="s">
        <v>16</v>
      </c>
      <c r="D1087" s="45" t="s">
        <v>2171</v>
      </c>
      <c r="E1087" s="43" t="s">
        <v>2913</v>
      </c>
      <c r="F1087" s="50">
        <v>6</v>
      </c>
    </row>
    <row r="1088" spans="1:6" ht="20.100000000000001" customHeight="1">
      <c r="A1088" s="44">
        <v>1085</v>
      </c>
      <c r="B1088" s="45">
        <v>2020</v>
      </c>
      <c r="C1088" s="45" t="s">
        <v>2055</v>
      </c>
      <c r="D1088" s="45" t="s">
        <v>2219</v>
      </c>
      <c r="E1088" s="43" t="s">
        <v>2912</v>
      </c>
      <c r="F1088" s="50">
        <v>21.56</v>
      </c>
    </row>
    <row r="1089" spans="1:6" ht="20.100000000000001" customHeight="1">
      <c r="A1089" s="44">
        <v>1086</v>
      </c>
      <c r="B1089" s="45">
        <v>2020</v>
      </c>
      <c r="C1089" s="45" t="s">
        <v>16</v>
      </c>
      <c r="D1089" s="45" t="s">
        <v>2172</v>
      </c>
      <c r="E1089" s="43" t="s">
        <v>2911</v>
      </c>
      <c r="F1089" s="50">
        <v>30.66</v>
      </c>
    </row>
    <row r="1090" spans="1:6" ht="20.100000000000001" customHeight="1">
      <c r="A1090" s="44">
        <v>1087</v>
      </c>
      <c r="B1090" s="45">
        <v>2020</v>
      </c>
      <c r="C1090" s="71" t="s">
        <v>64</v>
      </c>
      <c r="D1090" s="45" t="s">
        <v>886</v>
      </c>
      <c r="E1090" s="45" t="s">
        <v>1798</v>
      </c>
      <c r="F1090" s="50">
        <v>43.16</v>
      </c>
    </row>
    <row r="1091" spans="1:6" ht="20.100000000000001" customHeight="1">
      <c r="A1091" s="44">
        <v>1088</v>
      </c>
      <c r="B1091" s="45">
        <v>2020</v>
      </c>
      <c r="C1091" s="45" t="s">
        <v>2050</v>
      </c>
      <c r="D1091" s="39" t="s">
        <v>2220</v>
      </c>
      <c r="E1091" s="43" t="s">
        <v>2221</v>
      </c>
      <c r="F1091" s="50">
        <v>8</v>
      </c>
    </row>
    <row r="1092" spans="1:6" ht="20.100000000000001" customHeight="1">
      <c r="A1092" s="44">
        <v>1089</v>
      </c>
      <c r="B1092" s="45">
        <v>2020</v>
      </c>
      <c r="C1092" s="45" t="s">
        <v>2050</v>
      </c>
      <c r="D1092" s="45" t="s">
        <v>2222</v>
      </c>
      <c r="E1092" s="43" t="s">
        <v>2223</v>
      </c>
      <c r="F1092" s="50">
        <v>10</v>
      </c>
    </row>
    <row r="1093" spans="1:6" ht="20.100000000000001" customHeight="1">
      <c r="A1093" s="44">
        <v>1090</v>
      </c>
      <c r="B1093" s="45">
        <v>2020</v>
      </c>
      <c r="C1093" s="45" t="s">
        <v>2050</v>
      </c>
      <c r="D1093" s="72" t="s">
        <v>2224</v>
      </c>
      <c r="E1093" s="73" t="s">
        <v>2225</v>
      </c>
      <c r="F1093" s="50">
        <v>18.375</v>
      </c>
    </row>
    <row r="1094" spans="1:6" ht="20.100000000000001" customHeight="1">
      <c r="A1094" s="44">
        <v>1091</v>
      </c>
      <c r="B1094" s="45">
        <v>2020</v>
      </c>
      <c r="C1094" s="45" t="s">
        <v>2050</v>
      </c>
      <c r="D1094" s="72" t="s">
        <v>2226</v>
      </c>
      <c r="E1094" s="73" t="s">
        <v>2225</v>
      </c>
      <c r="F1094" s="50">
        <v>20.52</v>
      </c>
    </row>
    <row r="1095" spans="1:6" ht="20.100000000000001" customHeight="1">
      <c r="A1095" s="44">
        <v>1092</v>
      </c>
      <c r="B1095" s="45">
        <v>2020</v>
      </c>
      <c r="C1095" s="45" t="s">
        <v>2050</v>
      </c>
      <c r="D1095" s="39" t="s">
        <v>2173</v>
      </c>
      <c r="E1095" s="43" t="s">
        <v>2174</v>
      </c>
      <c r="F1095" s="50">
        <v>95.94</v>
      </c>
    </row>
    <row r="1096" spans="1:6" ht="20.100000000000001" customHeight="1">
      <c r="A1096" s="44">
        <v>1093</v>
      </c>
      <c r="B1096" s="45">
        <v>2020</v>
      </c>
      <c r="C1096" s="45" t="s">
        <v>2050</v>
      </c>
      <c r="D1096" s="45" t="s">
        <v>2316</v>
      </c>
      <c r="E1096" s="47" t="s">
        <v>2317</v>
      </c>
      <c r="F1096" s="50">
        <v>75.599999999999994</v>
      </c>
    </row>
    <row r="1097" spans="1:6" ht="20.100000000000001" customHeight="1">
      <c r="A1097" s="44">
        <v>1094</v>
      </c>
      <c r="B1097" s="45">
        <v>2020</v>
      </c>
      <c r="C1097" s="45" t="s">
        <v>37</v>
      </c>
      <c r="D1097" s="43" t="s">
        <v>2227</v>
      </c>
      <c r="E1097" s="43" t="s">
        <v>2844</v>
      </c>
      <c r="F1097" s="56">
        <v>62.7</v>
      </c>
    </row>
    <row r="1098" spans="1:6" ht="20.100000000000001" customHeight="1">
      <c r="A1098" s="44">
        <v>1095</v>
      </c>
      <c r="B1098" s="45">
        <v>2020</v>
      </c>
      <c r="C1098" s="44" t="s">
        <v>2145</v>
      </c>
      <c r="D1098" s="45" t="s">
        <v>2228</v>
      </c>
      <c r="E1098" s="43" t="s">
        <v>2229</v>
      </c>
      <c r="F1098" s="50">
        <v>30</v>
      </c>
    </row>
    <row r="1099" spans="1:6" ht="20.100000000000001" customHeight="1">
      <c r="A1099" s="44">
        <v>1096</v>
      </c>
      <c r="B1099" s="45">
        <v>2020</v>
      </c>
      <c r="C1099" s="44" t="s">
        <v>29</v>
      </c>
      <c r="D1099" s="45" t="s">
        <v>2230</v>
      </c>
      <c r="E1099" s="43" t="s">
        <v>2175</v>
      </c>
      <c r="F1099" s="50">
        <v>30.24</v>
      </c>
    </row>
    <row r="1100" spans="1:6" ht="20.100000000000001" customHeight="1">
      <c r="A1100" s="44">
        <v>1097</v>
      </c>
      <c r="B1100" s="45">
        <v>2020</v>
      </c>
      <c r="C1100" s="44" t="s">
        <v>2146</v>
      </c>
      <c r="D1100" s="45" t="s">
        <v>2231</v>
      </c>
      <c r="E1100" s="43" t="s">
        <v>2176</v>
      </c>
      <c r="F1100" s="50">
        <v>7.2</v>
      </c>
    </row>
    <row r="1101" spans="1:6" ht="20.100000000000001" customHeight="1">
      <c r="A1101" s="44">
        <v>1098</v>
      </c>
      <c r="B1101" s="45">
        <v>2020</v>
      </c>
      <c r="C1101" s="44" t="s">
        <v>2145</v>
      </c>
      <c r="D1101" s="45" t="s">
        <v>2232</v>
      </c>
      <c r="E1101" s="43" t="s">
        <v>2233</v>
      </c>
      <c r="F1101" s="50">
        <v>7.92</v>
      </c>
    </row>
    <row r="1102" spans="1:6" ht="20.100000000000001" customHeight="1">
      <c r="A1102" s="44">
        <v>1099</v>
      </c>
      <c r="B1102" s="45">
        <v>2020</v>
      </c>
      <c r="C1102" s="44" t="s">
        <v>2146</v>
      </c>
      <c r="D1102" s="45" t="s">
        <v>2234</v>
      </c>
      <c r="E1102" s="43" t="s">
        <v>2235</v>
      </c>
      <c r="F1102" s="50">
        <v>21.62</v>
      </c>
    </row>
    <row r="1103" spans="1:6" ht="20.100000000000001" customHeight="1">
      <c r="A1103" s="44">
        <v>1100</v>
      </c>
      <c r="B1103" s="44">
        <v>2020</v>
      </c>
      <c r="C1103" s="41" t="s">
        <v>1674</v>
      </c>
      <c r="D1103" s="44" t="s">
        <v>887</v>
      </c>
      <c r="E1103" s="45" t="s">
        <v>2716</v>
      </c>
      <c r="F1103" s="50">
        <v>5</v>
      </c>
    </row>
    <row r="1104" spans="1:6" ht="20.100000000000001" customHeight="1">
      <c r="A1104" s="44">
        <v>1101</v>
      </c>
      <c r="B1104" s="44">
        <v>2020</v>
      </c>
      <c r="C1104" s="41" t="s">
        <v>1674</v>
      </c>
      <c r="D1104" s="44" t="s">
        <v>888</v>
      </c>
      <c r="E1104" s="44" t="s">
        <v>1677</v>
      </c>
      <c r="F1104" s="50">
        <v>3</v>
      </c>
    </row>
    <row r="1105" spans="1:6" ht="20.100000000000001" customHeight="1">
      <c r="A1105" s="44">
        <v>1102</v>
      </c>
      <c r="B1105" s="45">
        <v>2020</v>
      </c>
      <c r="C1105" s="44" t="s">
        <v>104</v>
      </c>
      <c r="D1105" s="45" t="s">
        <v>2236</v>
      </c>
      <c r="E1105" s="43" t="s">
        <v>2717</v>
      </c>
      <c r="F1105" s="50">
        <v>48.6</v>
      </c>
    </row>
    <row r="1106" spans="1:6" ht="20.100000000000001" customHeight="1">
      <c r="A1106" s="44">
        <v>1103</v>
      </c>
      <c r="B1106" s="45">
        <v>2020</v>
      </c>
      <c r="C1106" s="44" t="s">
        <v>2147</v>
      </c>
      <c r="D1106" s="45" t="s">
        <v>2237</v>
      </c>
      <c r="E1106" s="43" t="s">
        <v>2718</v>
      </c>
      <c r="F1106" s="50">
        <v>15</v>
      </c>
    </row>
    <row r="1107" spans="1:6" ht="20.100000000000001" customHeight="1">
      <c r="A1107" s="44">
        <v>1104</v>
      </c>
      <c r="B1107" s="45">
        <v>2020</v>
      </c>
      <c r="C1107" s="44" t="s">
        <v>2147</v>
      </c>
      <c r="D1107" s="45" t="s">
        <v>2177</v>
      </c>
      <c r="E1107" s="43" t="s">
        <v>2719</v>
      </c>
      <c r="F1107" s="50">
        <v>22.527000000000001</v>
      </c>
    </row>
    <row r="1108" spans="1:6" ht="20.100000000000001" customHeight="1">
      <c r="A1108" s="44">
        <v>1105</v>
      </c>
      <c r="B1108" s="45">
        <v>2020</v>
      </c>
      <c r="C1108" s="44" t="s">
        <v>31</v>
      </c>
      <c r="D1108" s="45" t="s">
        <v>2238</v>
      </c>
      <c r="E1108" s="43" t="s">
        <v>2910</v>
      </c>
      <c r="F1108" s="50">
        <v>9</v>
      </c>
    </row>
    <row r="1109" spans="1:6" ht="20.100000000000001" customHeight="1">
      <c r="A1109" s="44">
        <v>1106</v>
      </c>
      <c r="B1109" s="45">
        <v>2020</v>
      </c>
      <c r="C1109" s="47" t="s">
        <v>34</v>
      </c>
      <c r="D1109" s="45" t="s">
        <v>2644</v>
      </c>
      <c r="E1109" s="45" t="s">
        <v>2645</v>
      </c>
      <c r="F1109" s="50">
        <v>3</v>
      </c>
    </row>
    <row r="1110" spans="1:6" ht="20.100000000000001" customHeight="1">
      <c r="A1110" s="44">
        <v>1107</v>
      </c>
      <c r="B1110" s="45">
        <v>2020</v>
      </c>
      <c r="C1110" s="47" t="s">
        <v>34</v>
      </c>
      <c r="D1110" s="45" t="s">
        <v>2640</v>
      </c>
      <c r="E1110" s="45" t="s">
        <v>2641</v>
      </c>
      <c r="F1110" s="50">
        <v>1.24</v>
      </c>
    </row>
    <row r="1111" spans="1:6" ht="20.100000000000001" customHeight="1">
      <c r="A1111" s="44">
        <v>1108</v>
      </c>
      <c r="B1111" s="45">
        <v>2020</v>
      </c>
      <c r="C1111" s="47" t="s">
        <v>34</v>
      </c>
      <c r="D1111" s="45" t="s">
        <v>2642</v>
      </c>
      <c r="E1111" s="45" t="s">
        <v>2643</v>
      </c>
      <c r="F1111" s="50">
        <v>0.3</v>
      </c>
    </row>
    <row r="1112" spans="1:6" ht="20.100000000000001" customHeight="1">
      <c r="A1112" s="44">
        <v>1109</v>
      </c>
      <c r="B1112" s="45">
        <v>2020</v>
      </c>
      <c r="C1112" s="45" t="s">
        <v>34</v>
      </c>
      <c r="D1112" s="43" t="s">
        <v>2239</v>
      </c>
      <c r="E1112" s="43" t="s">
        <v>2909</v>
      </c>
      <c r="F1112" s="50">
        <v>18</v>
      </c>
    </row>
    <row r="1113" spans="1:6" ht="20.100000000000001" customHeight="1">
      <c r="A1113" s="44">
        <v>1110</v>
      </c>
      <c r="B1113" s="44">
        <v>2020</v>
      </c>
      <c r="C1113" s="41" t="s">
        <v>1680</v>
      </c>
      <c r="D1113" s="44" t="s">
        <v>890</v>
      </c>
      <c r="E1113" s="44" t="s">
        <v>1681</v>
      </c>
      <c r="F1113" s="50">
        <v>5.18</v>
      </c>
    </row>
    <row r="1114" spans="1:6" ht="20.100000000000001" customHeight="1">
      <c r="A1114" s="44">
        <v>1111</v>
      </c>
      <c r="B1114" s="45">
        <v>2020</v>
      </c>
      <c r="C1114" s="44" t="s">
        <v>2148</v>
      </c>
      <c r="D1114" s="45" t="s">
        <v>2240</v>
      </c>
      <c r="E1114" s="43" t="s">
        <v>2825</v>
      </c>
      <c r="F1114" s="50">
        <v>15.2</v>
      </c>
    </row>
    <row r="1115" spans="1:6" ht="20.100000000000001" customHeight="1">
      <c r="A1115" s="44">
        <v>1112</v>
      </c>
      <c r="B1115" s="45">
        <v>2020</v>
      </c>
      <c r="C1115" s="44" t="s">
        <v>3</v>
      </c>
      <c r="D1115" s="43" t="s">
        <v>2241</v>
      </c>
      <c r="E1115" s="43" t="s">
        <v>2709</v>
      </c>
      <c r="F1115" s="50">
        <v>6.2</v>
      </c>
    </row>
    <row r="1116" spans="1:6" ht="20.100000000000001" customHeight="1">
      <c r="A1116" s="44">
        <v>1113</v>
      </c>
      <c r="B1116" s="45">
        <v>2020</v>
      </c>
      <c r="C1116" s="44" t="s">
        <v>56</v>
      </c>
      <c r="D1116" s="45" t="s">
        <v>2242</v>
      </c>
      <c r="E1116" s="43" t="s">
        <v>2908</v>
      </c>
      <c r="F1116" s="50">
        <v>63</v>
      </c>
    </row>
    <row r="1117" spans="1:6" ht="20.100000000000001" customHeight="1">
      <c r="A1117" s="44">
        <v>1114</v>
      </c>
      <c r="B1117" s="45">
        <v>2020</v>
      </c>
      <c r="C1117" s="44" t="s">
        <v>2243</v>
      </c>
      <c r="D1117" s="45" t="s">
        <v>2244</v>
      </c>
      <c r="E1117" s="43" t="s">
        <v>2049</v>
      </c>
      <c r="F1117" s="50">
        <v>5</v>
      </c>
    </row>
    <row r="1118" spans="1:6" ht="20.100000000000001" customHeight="1">
      <c r="A1118" s="44">
        <v>1115</v>
      </c>
      <c r="B1118" s="44">
        <v>2020</v>
      </c>
      <c r="C1118" s="41" t="s">
        <v>1140</v>
      </c>
      <c r="D1118" s="44" t="s">
        <v>1154</v>
      </c>
      <c r="E1118" s="44" t="s">
        <v>1155</v>
      </c>
      <c r="F1118" s="50">
        <v>46</v>
      </c>
    </row>
    <row r="1119" spans="1:6" ht="20.100000000000001" customHeight="1">
      <c r="A1119" s="44">
        <v>1116</v>
      </c>
      <c r="B1119" s="44">
        <v>2020</v>
      </c>
      <c r="C1119" s="41" t="s">
        <v>1140</v>
      </c>
      <c r="D1119" s="74" t="s">
        <v>1152</v>
      </c>
      <c r="E1119" s="74" t="s">
        <v>2015</v>
      </c>
      <c r="F1119" s="50">
        <v>41.6</v>
      </c>
    </row>
    <row r="1120" spans="1:6" ht="20.100000000000001" customHeight="1">
      <c r="A1120" s="44">
        <v>1117</v>
      </c>
      <c r="B1120" s="44">
        <v>2020</v>
      </c>
      <c r="C1120" s="75" t="s">
        <v>2249</v>
      </c>
      <c r="D1120" s="37" t="s">
        <v>2250</v>
      </c>
      <c r="E1120" s="65" t="s">
        <v>2251</v>
      </c>
      <c r="F1120" s="50">
        <v>9</v>
      </c>
    </row>
    <row r="1121" spans="1:6" ht="20.100000000000001" customHeight="1">
      <c r="A1121" s="44">
        <v>1118</v>
      </c>
      <c r="B1121" s="37">
        <v>2021</v>
      </c>
      <c r="C1121" s="75" t="s">
        <v>2247</v>
      </c>
      <c r="D1121" s="37" t="s">
        <v>2248</v>
      </c>
      <c r="E1121" s="65" t="s">
        <v>2907</v>
      </c>
      <c r="F1121" s="76">
        <v>6</v>
      </c>
    </row>
    <row r="1122" spans="1:6" ht="20.100000000000001" customHeight="1">
      <c r="A1122" s="44">
        <v>1119</v>
      </c>
      <c r="B1122" s="37">
        <v>2021</v>
      </c>
      <c r="C1122" s="37" t="s">
        <v>2258</v>
      </c>
      <c r="D1122" s="37" t="s">
        <v>2259</v>
      </c>
      <c r="E1122" s="65" t="s">
        <v>2334</v>
      </c>
      <c r="F1122" s="76">
        <v>5</v>
      </c>
    </row>
    <row r="1123" spans="1:6" ht="20.100000000000001" customHeight="1">
      <c r="A1123" s="44">
        <v>1120</v>
      </c>
      <c r="B1123" s="37">
        <v>2021</v>
      </c>
      <c r="C1123" s="37" t="s">
        <v>2258</v>
      </c>
      <c r="D1123" s="37" t="s">
        <v>2260</v>
      </c>
      <c r="E1123" s="65" t="s">
        <v>2335</v>
      </c>
      <c r="F1123" s="76">
        <v>5</v>
      </c>
    </row>
    <row r="1124" spans="1:6" ht="20.100000000000001" customHeight="1">
      <c r="A1124" s="44">
        <v>1121</v>
      </c>
      <c r="B1124" s="37">
        <v>2021</v>
      </c>
      <c r="C1124" s="37" t="s">
        <v>2258</v>
      </c>
      <c r="D1124" s="45" t="s">
        <v>2261</v>
      </c>
      <c r="E1124" s="45" t="s">
        <v>2336</v>
      </c>
      <c r="F1124" s="76">
        <v>10</v>
      </c>
    </row>
    <row r="1125" spans="1:6" ht="20.100000000000001" customHeight="1">
      <c r="A1125" s="44">
        <v>1122</v>
      </c>
      <c r="B1125" s="37">
        <v>2021</v>
      </c>
      <c r="C1125" s="37" t="s">
        <v>2258</v>
      </c>
      <c r="D1125" s="45" t="s">
        <v>2262</v>
      </c>
      <c r="E1125" s="65" t="s">
        <v>2337</v>
      </c>
      <c r="F1125" s="76">
        <v>6</v>
      </c>
    </row>
    <row r="1126" spans="1:6" ht="20.100000000000001" customHeight="1">
      <c r="A1126" s="44">
        <v>1123</v>
      </c>
      <c r="B1126" s="37">
        <v>2021</v>
      </c>
      <c r="C1126" s="37" t="s">
        <v>2258</v>
      </c>
      <c r="D1126" s="37" t="s">
        <v>2263</v>
      </c>
      <c r="E1126" s="65" t="s">
        <v>2338</v>
      </c>
      <c r="F1126" s="76">
        <v>10</v>
      </c>
    </row>
    <row r="1127" spans="1:6" ht="20.100000000000001" customHeight="1">
      <c r="A1127" s="44">
        <v>1124</v>
      </c>
      <c r="B1127" s="44">
        <v>2021</v>
      </c>
      <c r="C1127" s="44" t="s">
        <v>2264</v>
      </c>
      <c r="D1127" s="38" t="s">
        <v>2265</v>
      </c>
      <c r="E1127" s="38" t="s">
        <v>2826</v>
      </c>
      <c r="F1127" s="77">
        <v>15.2</v>
      </c>
    </row>
    <row r="1128" spans="1:6" ht="20.100000000000001" customHeight="1">
      <c r="A1128" s="44">
        <v>1125</v>
      </c>
      <c r="B1128" s="44">
        <v>2021</v>
      </c>
      <c r="C1128" s="44" t="s">
        <v>1680</v>
      </c>
      <c r="D1128" s="38" t="s">
        <v>2266</v>
      </c>
      <c r="E1128" s="38" t="s">
        <v>2827</v>
      </c>
      <c r="F1128" s="77">
        <v>10.5</v>
      </c>
    </row>
    <row r="1129" spans="1:6" ht="20.100000000000001" customHeight="1">
      <c r="A1129" s="44">
        <v>1126</v>
      </c>
      <c r="B1129" s="44">
        <v>2021</v>
      </c>
      <c r="C1129" s="44" t="s">
        <v>2264</v>
      </c>
      <c r="D1129" s="38" t="s">
        <v>2267</v>
      </c>
      <c r="E1129" s="38" t="s">
        <v>2828</v>
      </c>
      <c r="F1129" s="77">
        <v>3.2</v>
      </c>
    </row>
    <row r="1130" spans="1:6" ht="20.100000000000001" customHeight="1">
      <c r="A1130" s="44">
        <v>1127</v>
      </c>
      <c r="B1130" s="37">
        <v>2021</v>
      </c>
      <c r="C1130" s="75" t="s">
        <v>2268</v>
      </c>
      <c r="D1130" s="37" t="s">
        <v>2269</v>
      </c>
      <c r="E1130" s="65" t="s">
        <v>2575</v>
      </c>
      <c r="F1130" s="76">
        <v>13.5</v>
      </c>
    </row>
    <row r="1131" spans="1:6" ht="20.100000000000001" customHeight="1">
      <c r="A1131" s="44">
        <v>1128</v>
      </c>
      <c r="B1131" s="37">
        <v>2021</v>
      </c>
      <c r="C1131" s="37" t="s">
        <v>2037</v>
      </c>
      <c r="D1131" s="37" t="s">
        <v>2272</v>
      </c>
      <c r="E1131" s="65" t="s">
        <v>2845</v>
      </c>
      <c r="F1131" s="78">
        <v>22</v>
      </c>
    </row>
    <row r="1132" spans="1:6" ht="20.100000000000001" customHeight="1">
      <c r="A1132" s="44">
        <v>1129</v>
      </c>
      <c r="B1132" s="37">
        <v>2021</v>
      </c>
      <c r="C1132" s="37" t="s">
        <v>2037</v>
      </c>
      <c r="D1132" s="37" t="s">
        <v>2273</v>
      </c>
      <c r="E1132" s="65" t="s">
        <v>2845</v>
      </c>
      <c r="F1132" s="78">
        <v>30.8</v>
      </c>
    </row>
    <row r="1133" spans="1:6" ht="20.100000000000001" customHeight="1">
      <c r="A1133" s="44">
        <v>1130</v>
      </c>
      <c r="B1133" s="37">
        <v>2021</v>
      </c>
      <c r="C1133" s="37" t="s">
        <v>2037</v>
      </c>
      <c r="D1133" s="37" t="s">
        <v>2274</v>
      </c>
      <c r="E1133" s="65" t="s">
        <v>2845</v>
      </c>
      <c r="F1133" s="78">
        <v>10</v>
      </c>
    </row>
    <row r="1134" spans="1:6" ht="20.100000000000001" customHeight="1">
      <c r="A1134" s="44">
        <v>1131</v>
      </c>
      <c r="B1134" s="45">
        <v>2021</v>
      </c>
      <c r="C1134" s="44" t="s">
        <v>2141</v>
      </c>
      <c r="D1134" s="79" t="s">
        <v>2275</v>
      </c>
      <c r="E1134" s="80" t="s">
        <v>2768</v>
      </c>
      <c r="F1134" s="76">
        <v>16.59</v>
      </c>
    </row>
    <row r="1135" spans="1:6" ht="20.100000000000001" customHeight="1">
      <c r="A1135" s="44">
        <v>1132</v>
      </c>
      <c r="B1135" s="45">
        <v>2021</v>
      </c>
      <c r="C1135" s="44" t="s">
        <v>2141</v>
      </c>
      <c r="D1135" s="79" t="s">
        <v>2276</v>
      </c>
      <c r="E1135" s="80" t="s">
        <v>2769</v>
      </c>
      <c r="F1135" s="76">
        <v>5.4</v>
      </c>
    </row>
    <row r="1136" spans="1:6" ht="20.100000000000001" customHeight="1">
      <c r="A1136" s="44">
        <v>1133</v>
      </c>
      <c r="B1136" s="45">
        <v>2021</v>
      </c>
      <c r="C1136" s="44" t="s">
        <v>1496</v>
      </c>
      <c r="D1136" s="79" t="s">
        <v>2341</v>
      </c>
      <c r="E1136" s="80" t="s">
        <v>2342</v>
      </c>
      <c r="F1136" s="76">
        <v>3</v>
      </c>
    </row>
    <row r="1137" spans="1:6 16334:16334" ht="20.100000000000001" customHeight="1">
      <c r="A1137" s="44">
        <v>1134</v>
      </c>
      <c r="B1137" s="45">
        <v>2021</v>
      </c>
      <c r="C1137" s="44" t="s">
        <v>1496</v>
      </c>
      <c r="D1137" s="79" t="s">
        <v>2353</v>
      </c>
      <c r="E1137" s="80" t="s">
        <v>2342</v>
      </c>
      <c r="F1137" s="76">
        <v>15</v>
      </c>
    </row>
    <row r="1138" spans="1:6 16334:16334" ht="20.100000000000001" customHeight="1">
      <c r="A1138" s="44">
        <v>1135</v>
      </c>
      <c r="B1138" s="45">
        <v>2021</v>
      </c>
      <c r="C1138" s="44" t="s">
        <v>1496</v>
      </c>
      <c r="D1138" s="45" t="s">
        <v>2343</v>
      </c>
      <c r="E1138" s="45" t="s">
        <v>2354</v>
      </c>
      <c r="F1138" s="50">
        <v>10</v>
      </c>
    </row>
    <row r="1139" spans="1:6 16334:16334" ht="20.100000000000001" customHeight="1">
      <c r="A1139" s="44">
        <v>1136</v>
      </c>
      <c r="B1139" s="45">
        <v>2021</v>
      </c>
      <c r="C1139" s="44" t="s">
        <v>2358</v>
      </c>
      <c r="D1139" s="45" t="s">
        <v>2344</v>
      </c>
      <c r="E1139" s="45" t="s">
        <v>2355</v>
      </c>
      <c r="F1139" s="50">
        <v>6</v>
      </c>
    </row>
    <row r="1140" spans="1:6 16334:16334" ht="20.100000000000001" customHeight="1">
      <c r="A1140" s="44">
        <v>1137</v>
      </c>
      <c r="B1140" s="45">
        <v>2021</v>
      </c>
      <c r="C1140" s="44" t="s">
        <v>2359</v>
      </c>
      <c r="D1140" s="45" t="s">
        <v>2345</v>
      </c>
      <c r="E1140" s="45" t="s">
        <v>2356</v>
      </c>
      <c r="F1140" s="50">
        <v>3</v>
      </c>
    </row>
    <row r="1141" spans="1:6 16334:16334" ht="20.100000000000001" customHeight="1">
      <c r="A1141" s="44">
        <v>1138</v>
      </c>
      <c r="B1141" s="45">
        <v>2021</v>
      </c>
      <c r="C1141" s="44" t="s">
        <v>2360</v>
      </c>
      <c r="D1141" s="45" t="s">
        <v>2346</v>
      </c>
      <c r="E1141" s="45" t="s">
        <v>2357</v>
      </c>
      <c r="F1141" s="50">
        <v>3</v>
      </c>
    </row>
    <row r="1142" spans="1:6 16334:16334" ht="20.100000000000001" customHeight="1">
      <c r="A1142" s="44">
        <v>1139</v>
      </c>
      <c r="B1142" s="45">
        <v>2021</v>
      </c>
      <c r="C1142" s="44" t="s">
        <v>2360</v>
      </c>
      <c r="D1142" s="45" t="s">
        <v>2347</v>
      </c>
      <c r="E1142" s="45" t="s">
        <v>2348</v>
      </c>
      <c r="F1142" s="50">
        <v>10</v>
      </c>
    </row>
    <row r="1143" spans="1:6 16334:16334" ht="20.100000000000001" customHeight="1">
      <c r="A1143" s="44">
        <v>1140</v>
      </c>
      <c r="B1143" s="45">
        <v>2021</v>
      </c>
      <c r="C1143" s="44" t="s">
        <v>2360</v>
      </c>
      <c r="D1143" s="45" t="s">
        <v>2349</v>
      </c>
      <c r="E1143" s="45" t="s">
        <v>2351</v>
      </c>
      <c r="F1143" s="50">
        <v>7</v>
      </c>
    </row>
    <row r="1144" spans="1:6 16334:16334" ht="20.100000000000001" customHeight="1">
      <c r="A1144" s="44">
        <v>1141</v>
      </c>
      <c r="B1144" s="45">
        <v>2021</v>
      </c>
      <c r="C1144" s="44" t="s">
        <v>2360</v>
      </c>
      <c r="D1144" s="45" t="s">
        <v>2350</v>
      </c>
      <c r="E1144" s="45" t="s">
        <v>2352</v>
      </c>
      <c r="F1144" s="50">
        <v>8</v>
      </c>
    </row>
    <row r="1145" spans="1:6 16334:16334" ht="20.100000000000001" customHeight="1">
      <c r="A1145" s="44">
        <v>1142</v>
      </c>
      <c r="B1145" s="45">
        <v>2021</v>
      </c>
      <c r="C1145" s="44" t="s">
        <v>2361</v>
      </c>
      <c r="D1145" s="79" t="s">
        <v>2277</v>
      </c>
      <c r="E1145" s="80" t="s">
        <v>2770</v>
      </c>
      <c r="F1145" s="76">
        <v>3.16</v>
      </c>
    </row>
    <row r="1146" spans="1:6 16334:16334" ht="20.100000000000001" customHeight="1">
      <c r="A1146" s="44">
        <v>1143</v>
      </c>
      <c r="B1146" s="45">
        <v>2021</v>
      </c>
      <c r="C1146" s="44" t="s">
        <v>2361</v>
      </c>
      <c r="D1146" s="79" t="s">
        <v>2278</v>
      </c>
      <c r="E1146" s="80" t="s">
        <v>2771</v>
      </c>
      <c r="F1146" s="76">
        <v>3.16</v>
      </c>
    </row>
    <row r="1147" spans="1:6 16334:16334" ht="20.100000000000001" customHeight="1">
      <c r="A1147" s="44">
        <v>1144</v>
      </c>
      <c r="B1147" s="45">
        <v>2021</v>
      </c>
      <c r="C1147" s="44" t="s">
        <v>2141</v>
      </c>
      <c r="D1147" s="79" t="s">
        <v>2327</v>
      </c>
      <c r="E1147" s="80" t="s">
        <v>2772</v>
      </c>
      <c r="F1147" s="76">
        <v>13</v>
      </c>
    </row>
    <row r="1148" spans="1:6 16334:16334" ht="20.100000000000001" customHeight="1">
      <c r="A1148" s="44">
        <v>1145</v>
      </c>
      <c r="B1148" s="45">
        <v>2021</v>
      </c>
      <c r="C1148" s="45" t="s">
        <v>1233</v>
      </c>
      <c r="D1148" s="45" t="s">
        <v>2279</v>
      </c>
      <c r="E1148" s="45" t="s">
        <v>2281</v>
      </c>
      <c r="F1148" s="50">
        <v>199</v>
      </c>
    </row>
    <row r="1149" spans="1:6 16334:16334" ht="20.100000000000001" customHeight="1">
      <c r="A1149" s="44">
        <v>1146</v>
      </c>
      <c r="B1149" s="45">
        <v>2021</v>
      </c>
      <c r="C1149" s="45" t="s">
        <v>1233</v>
      </c>
      <c r="D1149" s="45" t="s">
        <v>2280</v>
      </c>
      <c r="E1149" s="45" t="s">
        <v>2339</v>
      </c>
      <c r="F1149" s="50">
        <v>24</v>
      </c>
    </row>
    <row r="1150" spans="1:6 16334:16334" ht="20.100000000000001" customHeight="1">
      <c r="A1150" s="44">
        <v>1147</v>
      </c>
      <c r="B1150" s="45">
        <v>2021</v>
      </c>
      <c r="C1150" s="45" t="s">
        <v>2362</v>
      </c>
      <c r="D1150" s="47" t="s">
        <v>2282</v>
      </c>
      <c r="E1150" s="47" t="s">
        <v>2906</v>
      </c>
      <c r="F1150" s="50">
        <v>160</v>
      </c>
    </row>
    <row r="1151" spans="1:6 16334:16334" ht="20.100000000000001" customHeight="1">
      <c r="A1151" s="44">
        <v>1148</v>
      </c>
      <c r="B1151" s="37">
        <v>2021</v>
      </c>
      <c r="C1151" s="44" t="s">
        <v>2363</v>
      </c>
      <c r="D1151" s="37" t="s">
        <v>2283</v>
      </c>
      <c r="E1151" s="65" t="s">
        <v>2333</v>
      </c>
      <c r="F1151" s="50">
        <v>103</v>
      </c>
      <c r="XDF1151" s="46">
        <f>SUM(A1151:XDE1151)</f>
        <v>3272</v>
      </c>
    </row>
    <row r="1152" spans="1:6 16334:16334" ht="20.100000000000001" customHeight="1">
      <c r="A1152" s="44">
        <v>1149</v>
      </c>
      <c r="B1152" s="45">
        <v>2021</v>
      </c>
      <c r="C1152" s="41" t="s">
        <v>2549</v>
      </c>
      <c r="D1152" s="45" t="s">
        <v>2285</v>
      </c>
      <c r="E1152" s="45" t="s">
        <v>2284</v>
      </c>
      <c r="F1152" s="50">
        <v>60</v>
      </c>
    </row>
    <row r="1153" spans="1:6" ht="20.100000000000001" customHeight="1">
      <c r="A1153" s="44">
        <v>1150</v>
      </c>
      <c r="B1153" s="45">
        <v>2020</v>
      </c>
      <c r="C1153" s="41" t="s">
        <v>2549</v>
      </c>
      <c r="D1153" s="45" t="s">
        <v>2286</v>
      </c>
      <c r="E1153" s="45" t="s">
        <v>2287</v>
      </c>
      <c r="F1153" s="50">
        <v>71</v>
      </c>
    </row>
    <row r="1154" spans="1:6" ht="20.100000000000001" customHeight="1">
      <c r="A1154" s="44">
        <v>1151</v>
      </c>
      <c r="B1154" s="45">
        <v>2021</v>
      </c>
      <c r="C1154" s="45" t="s">
        <v>2364</v>
      </c>
      <c r="D1154" s="45" t="s">
        <v>2288</v>
      </c>
      <c r="E1154" s="38" t="s">
        <v>2975</v>
      </c>
      <c r="F1154" s="50">
        <v>605</v>
      </c>
    </row>
    <row r="1155" spans="1:6" ht="20.100000000000001" customHeight="1">
      <c r="A1155" s="44">
        <v>1152</v>
      </c>
      <c r="B1155" s="45">
        <v>2021</v>
      </c>
      <c r="C1155" s="45" t="s">
        <v>2365</v>
      </c>
      <c r="D1155" s="45" t="s">
        <v>2290</v>
      </c>
      <c r="E1155" s="45" t="s">
        <v>2703</v>
      </c>
      <c r="F1155" s="50">
        <v>59</v>
      </c>
    </row>
    <row r="1156" spans="1:6" ht="20.100000000000001" customHeight="1">
      <c r="A1156" s="44">
        <v>1153</v>
      </c>
      <c r="B1156" s="45">
        <v>2021</v>
      </c>
      <c r="C1156" s="44" t="s">
        <v>1456</v>
      </c>
      <c r="D1156" s="45" t="s">
        <v>2384</v>
      </c>
      <c r="E1156" s="45" t="s">
        <v>2904</v>
      </c>
      <c r="F1156" s="50">
        <v>200</v>
      </c>
    </row>
    <row r="1157" spans="1:6" ht="20.100000000000001" customHeight="1">
      <c r="A1157" s="44">
        <v>1154</v>
      </c>
      <c r="B1157" s="45">
        <v>2021</v>
      </c>
      <c r="C1157" s="44" t="s">
        <v>2366</v>
      </c>
      <c r="D1157" s="45" t="s">
        <v>2291</v>
      </c>
      <c r="E1157" s="45" t="s">
        <v>2755</v>
      </c>
      <c r="F1157" s="50">
        <v>3</v>
      </c>
    </row>
    <row r="1158" spans="1:6" ht="20.100000000000001" customHeight="1">
      <c r="A1158" s="44">
        <v>1155</v>
      </c>
      <c r="B1158" s="45">
        <v>2021</v>
      </c>
      <c r="C1158" s="44" t="s">
        <v>2366</v>
      </c>
      <c r="D1158" s="45" t="s">
        <v>2292</v>
      </c>
      <c r="E1158" s="45" t="s">
        <v>2756</v>
      </c>
      <c r="F1158" s="50">
        <v>10</v>
      </c>
    </row>
    <row r="1159" spans="1:6" ht="20.100000000000001" customHeight="1">
      <c r="A1159" s="44">
        <v>1156</v>
      </c>
      <c r="B1159" s="45">
        <v>2021</v>
      </c>
      <c r="C1159" s="45" t="s">
        <v>2293</v>
      </c>
      <c r="D1159" s="45" t="s">
        <v>2340</v>
      </c>
      <c r="E1159" s="45" t="s">
        <v>2294</v>
      </c>
      <c r="F1159" s="50">
        <v>10</v>
      </c>
    </row>
    <row r="1160" spans="1:6" ht="20.100000000000001" customHeight="1">
      <c r="A1160" s="44">
        <v>1157</v>
      </c>
      <c r="B1160" s="45">
        <v>2021</v>
      </c>
      <c r="C1160" s="45" t="s">
        <v>2131</v>
      </c>
      <c r="D1160" s="45" t="s">
        <v>2297</v>
      </c>
      <c r="E1160" s="45" t="s">
        <v>2905</v>
      </c>
      <c r="F1160" s="50">
        <v>33</v>
      </c>
    </row>
    <row r="1161" spans="1:6" ht="20.100000000000001" customHeight="1">
      <c r="A1161" s="44">
        <v>1158</v>
      </c>
      <c r="B1161" s="45">
        <v>2021</v>
      </c>
      <c r="C1161" s="44" t="s">
        <v>2367</v>
      </c>
      <c r="D1161" s="45" t="s">
        <v>2299</v>
      </c>
      <c r="E1161" s="45" t="s">
        <v>2300</v>
      </c>
      <c r="F1161" s="50">
        <v>84</v>
      </c>
    </row>
    <row r="1162" spans="1:6" ht="20.100000000000001" customHeight="1">
      <c r="A1162" s="44">
        <v>1159</v>
      </c>
      <c r="B1162" s="45">
        <v>2021</v>
      </c>
      <c r="C1162" s="44" t="s">
        <v>2367</v>
      </c>
      <c r="D1162" s="45" t="s">
        <v>2301</v>
      </c>
      <c r="E1162" s="40" t="s">
        <v>2302</v>
      </c>
      <c r="F1162" s="50">
        <v>497.7</v>
      </c>
    </row>
    <row r="1163" spans="1:6" ht="20.100000000000001" customHeight="1">
      <c r="A1163" s="44">
        <v>1160</v>
      </c>
      <c r="B1163" s="37">
        <v>2021</v>
      </c>
      <c r="C1163" s="44" t="s">
        <v>2368</v>
      </c>
      <c r="D1163" s="37" t="s">
        <v>2303</v>
      </c>
      <c r="E1163" s="65" t="s">
        <v>2306</v>
      </c>
      <c r="F1163" s="76">
        <v>110.5</v>
      </c>
    </row>
    <row r="1164" spans="1:6" ht="20.100000000000001" customHeight="1">
      <c r="A1164" s="44">
        <v>1161</v>
      </c>
      <c r="B1164" s="37">
        <v>2021</v>
      </c>
      <c r="C1164" s="44" t="s">
        <v>1140</v>
      </c>
      <c r="D1164" s="37" t="s">
        <v>2304</v>
      </c>
      <c r="E1164" s="65" t="s">
        <v>2307</v>
      </c>
      <c r="F1164" s="76">
        <v>5.88</v>
      </c>
    </row>
    <row r="1165" spans="1:6" ht="20.100000000000001" customHeight="1">
      <c r="A1165" s="44">
        <v>1162</v>
      </c>
      <c r="B1165" s="37">
        <v>2021</v>
      </c>
      <c r="C1165" s="44" t="s">
        <v>1140</v>
      </c>
      <c r="D1165" s="45" t="s">
        <v>2305</v>
      </c>
      <c r="E1165" s="45" t="s">
        <v>2308</v>
      </c>
      <c r="F1165" s="76">
        <v>98.28</v>
      </c>
    </row>
    <row r="1166" spans="1:6" ht="20.100000000000001" customHeight="1">
      <c r="A1166" s="44">
        <v>1163</v>
      </c>
      <c r="B1166" s="37">
        <v>2021</v>
      </c>
      <c r="C1166" s="44" t="s">
        <v>2369</v>
      </c>
      <c r="D1166" s="45" t="s">
        <v>2309</v>
      </c>
      <c r="E1166" s="45" t="s">
        <v>2720</v>
      </c>
      <c r="F1166" s="50">
        <v>5</v>
      </c>
    </row>
    <row r="1167" spans="1:6" ht="20.100000000000001" customHeight="1">
      <c r="A1167" s="44">
        <v>1164</v>
      </c>
      <c r="B1167" s="37">
        <v>2021</v>
      </c>
      <c r="C1167" s="44" t="s">
        <v>2369</v>
      </c>
      <c r="D1167" s="45" t="s">
        <v>2310</v>
      </c>
      <c r="E1167" s="45" t="s">
        <v>2721</v>
      </c>
      <c r="F1167" s="50">
        <v>3</v>
      </c>
    </row>
    <row r="1168" spans="1:6" ht="20.100000000000001" customHeight="1">
      <c r="A1168" s="44">
        <v>1165</v>
      </c>
      <c r="B1168" s="37">
        <v>2021</v>
      </c>
      <c r="C1168" s="44" t="s">
        <v>2147</v>
      </c>
      <c r="D1168" s="45" t="s">
        <v>2311</v>
      </c>
      <c r="E1168" s="45" t="s">
        <v>2722</v>
      </c>
      <c r="F1168" s="50">
        <v>3</v>
      </c>
    </row>
    <row r="1169" spans="1:6" ht="20.100000000000001" customHeight="1">
      <c r="A1169" s="44">
        <v>1166</v>
      </c>
      <c r="B1169" s="37">
        <v>2021</v>
      </c>
      <c r="C1169" s="45" t="s">
        <v>2017</v>
      </c>
      <c r="D1169" s="45" t="s">
        <v>2312</v>
      </c>
      <c r="E1169" s="45" t="s">
        <v>2313</v>
      </c>
      <c r="F1169" s="50">
        <v>13</v>
      </c>
    </row>
    <row r="1170" spans="1:6" ht="20.100000000000001" customHeight="1">
      <c r="A1170" s="44">
        <v>1167</v>
      </c>
      <c r="B1170" s="45">
        <v>2021</v>
      </c>
      <c r="C1170" s="45" t="s">
        <v>2050</v>
      </c>
      <c r="D1170" s="45" t="s">
        <v>2318</v>
      </c>
      <c r="E1170" s="45" t="s">
        <v>2319</v>
      </c>
      <c r="F1170" s="50">
        <v>3</v>
      </c>
    </row>
    <row r="1171" spans="1:6" ht="20.100000000000001" customHeight="1">
      <c r="A1171" s="44">
        <v>1168</v>
      </c>
      <c r="B1171" s="45">
        <v>2021</v>
      </c>
      <c r="C1171" s="45" t="s">
        <v>2050</v>
      </c>
      <c r="D1171" s="45" t="s">
        <v>2320</v>
      </c>
      <c r="E1171" s="45" t="s">
        <v>2321</v>
      </c>
      <c r="F1171" s="50">
        <v>3</v>
      </c>
    </row>
    <row r="1172" spans="1:6" ht="20.100000000000001" customHeight="1">
      <c r="A1172" s="44">
        <v>1169</v>
      </c>
      <c r="B1172" s="45">
        <v>2021</v>
      </c>
      <c r="C1172" s="45" t="s">
        <v>2050</v>
      </c>
      <c r="D1172" s="45" t="s">
        <v>2322</v>
      </c>
      <c r="E1172" s="45" t="s">
        <v>2323</v>
      </c>
      <c r="F1172" s="50">
        <v>3</v>
      </c>
    </row>
    <row r="1173" spans="1:6" ht="20.100000000000001" customHeight="1">
      <c r="A1173" s="44">
        <v>1170</v>
      </c>
      <c r="B1173" s="45">
        <v>2021</v>
      </c>
      <c r="C1173" s="45" t="s">
        <v>2050</v>
      </c>
      <c r="D1173" s="45" t="s">
        <v>2324</v>
      </c>
      <c r="E1173" s="45" t="s">
        <v>2328</v>
      </c>
      <c r="F1173" s="50">
        <v>3</v>
      </c>
    </row>
    <row r="1174" spans="1:6" ht="20.100000000000001" customHeight="1">
      <c r="A1174" s="44">
        <v>1171</v>
      </c>
      <c r="B1174" s="45">
        <v>2021</v>
      </c>
      <c r="C1174" s="45" t="s">
        <v>2050</v>
      </c>
      <c r="D1174" s="45" t="s">
        <v>2325</v>
      </c>
      <c r="E1174" s="45" t="s">
        <v>2329</v>
      </c>
      <c r="F1174" s="50">
        <v>59</v>
      </c>
    </row>
    <row r="1175" spans="1:6" ht="20.100000000000001" customHeight="1">
      <c r="A1175" s="44">
        <v>1172</v>
      </c>
      <c r="B1175" s="45">
        <v>2021</v>
      </c>
      <c r="C1175" s="45" t="s">
        <v>2050</v>
      </c>
      <c r="D1175" s="45" t="s">
        <v>2326</v>
      </c>
      <c r="E1175" s="45" t="s">
        <v>2330</v>
      </c>
      <c r="F1175" s="50">
        <v>8.69</v>
      </c>
    </row>
    <row r="1176" spans="1:6" ht="20.100000000000001" customHeight="1">
      <c r="A1176" s="44">
        <v>1173</v>
      </c>
      <c r="B1176" s="37">
        <v>2021</v>
      </c>
      <c r="C1176" s="45" t="s">
        <v>2050</v>
      </c>
      <c r="D1176" s="45" t="s">
        <v>2528</v>
      </c>
      <c r="E1176" s="45" t="s">
        <v>2331</v>
      </c>
      <c r="F1176" s="76">
        <v>6.16</v>
      </c>
    </row>
    <row r="1177" spans="1:6" ht="20.100000000000001" customHeight="1">
      <c r="A1177" s="44">
        <v>1174</v>
      </c>
      <c r="B1177" s="37">
        <v>2021</v>
      </c>
      <c r="C1177" s="45" t="s">
        <v>2050</v>
      </c>
      <c r="D1177" s="45" t="s">
        <v>2529</v>
      </c>
      <c r="E1177" s="45" t="s">
        <v>2332</v>
      </c>
      <c r="F1177" s="76">
        <v>2.52</v>
      </c>
    </row>
    <row r="1178" spans="1:6" ht="20.100000000000001" customHeight="1">
      <c r="A1178" s="44">
        <v>1175</v>
      </c>
      <c r="B1178" s="44">
        <v>2022</v>
      </c>
      <c r="C1178" s="44" t="s">
        <v>2148</v>
      </c>
      <c r="D1178" s="38" t="s">
        <v>2385</v>
      </c>
      <c r="E1178" s="38" t="s">
        <v>2829</v>
      </c>
      <c r="F1178" s="77">
        <v>16.5</v>
      </c>
    </row>
    <row r="1179" spans="1:6" ht="20.100000000000001" customHeight="1">
      <c r="A1179" s="44">
        <v>1176</v>
      </c>
      <c r="B1179" s="44">
        <v>2022</v>
      </c>
      <c r="C1179" s="44" t="s">
        <v>33</v>
      </c>
      <c r="D1179" s="38" t="s">
        <v>2387</v>
      </c>
      <c r="E1179" s="38" t="s">
        <v>2830</v>
      </c>
      <c r="F1179" s="77">
        <v>14.85</v>
      </c>
    </row>
    <row r="1180" spans="1:6" ht="20.100000000000001" customHeight="1">
      <c r="A1180" s="44">
        <v>1177</v>
      </c>
      <c r="B1180" s="44">
        <v>2022</v>
      </c>
      <c r="C1180" s="44" t="s">
        <v>14</v>
      </c>
      <c r="D1180" s="38" t="s">
        <v>2386</v>
      </c>
      <c r="E1180" s="38" t="s">
        <v>2757</v>
      </c>
      <c r="F1180" s="77">
        <v>20.64</v>
      </c>
    </row>
    <row r="1181" spans="1:6" ht="20.100000000000001" customHeight="1">
      <c r="A1181" s="44">
        <v>1178</v>
      </c>
      <c r="B1181" s="44">
        <v>2021</v>
      </c>
      <c r="C1181" s="44" t="s">
        <v>2388</v>
      </c>
      <c r="D1181" s="38" t="s">
        <v>2395</v>
      </c>
      <c r="E1181" s="38" t="s">
        <v>2576</v>
      </c>
      <c r="F1181" s="77">
        <v>76.8</v>
      </c>
    </row>
    <row r="1182" spans="1:6" ht="20.100000000000001" customHeight="1">
      <c r="A1182" s="44">
        <v>1179</v>
      </c>
      <c r="B1182" s="44">
        <v>2022</v>
      </c>
      <c r="C1182" s="44" t="s">
        <v>2389</v>
      </c>
      <c r="D1182" s="38" t="s">
        <v>2390</v>
      </c>
      <c r="E1182" s="38" t="s">
        <v>2723</v>
      </c>
      <c r="F1182" s="77">
        <v>4.8</v>
      </c>
    </row>
    <row r="1183" spans="1:6" ht="20.100000000000001" customHeight="1">
      <c r="A1183" s="44">
        <v>1180</v>
      </c>
      <c r="B1183" s="44">
        <v>2022</v>
      </c>
      <c r="C1183" s="44" t="s">
        <v>2389</v>
      </c>
      <c r="D1183" s="38" t="s">
        <v>2391</v>
      </c>
      <c r="E1183" s="38" t="s">
        <v>2724</v>
      </c>
      <c r="F1183" s="77">
        <v>3.2</v>
      </c>
    </row>
    <row r="1184" spans="1:6" ht="20.100000000000001" customHeight="1">
      <c r="A1184" s="44">
        <v>1181</v>
      </c>
      <c r="B1184" s="44">
        <v>2022</v>
      </c>
      <c r="C1184" s="44" t="s">
        <v>2389</v>
      </c>
      <c r="D1184" s="38" t="s">
        <v>2392</v>
      </c>
      <c r="E1184" s="38" t="s">
        <v>2725</v>
      </c>
      <c r="F1184" s="77">
        <v>6.4</v>
      </c>
    </row>
    <row r="1185" spans="1:6" ht="20.100000000000001" customHeight="1">
      <c r="A1185" s="44">
        <v>1182</v>
      </c>
      <c r="B1185" s="44">
        <v>2022</v>
      </c>
      <c r="C1185" s="44" t="s">
        <v>2389</v>
      </c>
      <c r="D1185" s="38" t="s">
        <v>2393</v>
      </c>
      <c r="E1185" s="38" t="s">
        <v>2726</v>
      </c>
      <c r="F1185" s="77">
        <v>5.6</v>
      </c>
    </row>
    <row r="1186" spans="1:6" ht="20.100000000000001" customHeight="1">
      <c r="A1186" s="44">
        <v>1183</v>
      </c>
      <c r="B1186" s="45">
        <v>2021</v>
      </c>
      <c r="C1186" s="45" t="s">
        <v>1800</v>
      </c>
      <c r="D1186" s="38" t="s">
        <v>2394</v>
      </c>
      <c r="E1186" s="38" t="s">
        <v>2901</v>
      </c>
      <c r="F1186" s="77">
        <v>30.1</v>
      </c>
    </row>
    <row r="1187" spans="1:6" ht="20.100000000000001" customHeight="1">
      <c r="A1187" s="44">
        <v>1184</v>
      </c>
      <c r="B1187" s="44">
        <v>2021</v>
      </c>
      <c r="C1187" s="44" t="s">
        <v>2399</v>
      </c>
      <c r="D1187" s="38" t="s">
        <v>2400</v>
      </c>
      <c r="E1187" s="38" t="s">
        <v>2902</v>
      </c>
      <c r="F1187" s="77">
        <v>7.04</v>
      </c>
    </row>
    <row r="1188" spans="1:6" ht="20.100000000000001" customHeight="1">
      <c r="A1188" s="44">
        <v>1185</v>
      </c>
      <c r="B1188" s="44">
        <v>2021</v>
      </c>
      <c r="C1188" s="44" t="s">
        <v>56</v>
      </c>
      <c r="D1188" s="38" t="s">
        <v>2401</v>
      </c>
      <c r="E1188" s="38" t="s">
        <v>2903</v>
      </c>
      <c r="F1188" s="77">
        <v>5.04</v>
      </c>
    </row>
    <row r="1189" spans="1:6" ht="20.100000000000001" customHeight="1">
      <c r="A1189" s="44">
        <v>1186</v>
      </c>
      <c r="B1189" s="44">
        <v>2022</v>
      </c>
      <c r="C1189" s="44" t="s">
        <v>2402</v>
      </c>
      <c r="D1189" s="38" t="s">
        <v>2403</v>
      </c>
      <c r="E1189" s="38" t="s">
        <v>2404</v>
      </c>
      <c r="F1189" s="77">
        <v>2441.6</v>
      </c>
    </row>
    <row r="1190" spans="1:6" ht="20.100000000000001" customHeight="1">
      <c r="A1190" s="44">
        <v>1187</v>
      </c>
      <c r="B1190" s="44">
        <v>2021</v>
      </c>
      <c r="C1190" s="44" t="s">
        <v>2405</v>
      </c>
      <c r="D1190" s="38" t="s">
        <v>2407</v>
      </c>
      <c r="E1190" s="38" t="s">
        <v>2773</v>
      </c>
      <c r="F1190" s="77">
        <v>36.479999999999997</v>
      </c>
    </row>
    <row r="1191" spans="1:6" ht="20.100000000000001" customHeight="1">
      <c r="A1191" s="44">
        <v>1188</v>
      </c>
      <c r="B1191" s="44">
        <v>2022</v>
      </c>
      <c r="C1191" s="44" t="s">
        <v>2406</v>
      </c>
      <c r="D1191" s="38" t="s">
        <v>2408</v>
      </c>
      <c r="E1191" s="38" t="s">
        <v>2774</v>
      </c>
      <c r="F1191" s="77">
        <v>38.6</v>
      </c>
    </row>
    <row r="1192" spans="1:6" ht="20.100000000000001" customHeight="1">
      <c r="A1192" s="44">
        <v>1189</v>
      </c>
      <c r="B1192" s="44">
        <v>2022</v>
      </c>
      <c r="C1192" s="44" t="s">
        <v>2405</v>
      </c>
      <c r="D1192" s="38" t="s">
        <v>2409</v>
      </c>
      <c r="E1192" s="38" t="s">
        <v>2775</v>
      </c>
      <c r="F1192" s="77">
        <v>100.31</v>
      </c>
    </row>
    <row r="1193" spans="1:6" ht="20.100000000000001" customHeight="1">
      <c r="A1193" s="44">
        <v>1190</v>
      </c>
      <c r="B1193" s="45">
        <v>2021</v>
      </c>
      <c r="C1193" s="45" t="s">
        <v>2131</v>
      </c>
      <c r="D1193" s="38" t="s">
        <v>2410</v>
      </c>
      <c r="E1193" s="38" t="s">
        <v>2899</v>
      </c>
      <c r="F1193" s="77">
        <v>112.32</v>
      </c>
    </row>
    <row r="1194" spans="1:6" ht="20.100000000000001" customHeight="1">
      <c r="A1194" s="44">
        <v>1191</v>
      </c>
      <c r="B1194" s="45">
        <v>2022</v>
      </c>
      <c r="C1194" s="45" t="s">
        <v>2131</v>
      </c>
      <c r="D1194" s="38" t="s">
        <v>2411</v>
      </c>
      <c r="E1194" s="38" t="s">
        <v>2900</v>
      </c>
      <c r="F1194" s="77">
        <v>31.5</v>
      </c>
    </row>
    <row r="1195" spans="1:6" ht="20.100000000000001" customHeight="1">
      <c r="A1195" s="44">
        <v>1192</v>
      </c>
      <c r="B1195" s="45">
        <v>2011</v>
      </c>
      <c r="C1195" s="45" t="s">
        <v>23</v>
      </c>
      <c r="D1195" s="38" t="s">
        <v>2412</v>
      </c>
      <c r="E1195" s="38" t="s">
        <v>2806</v>
      </c>
      <c r="F1195" s="77">
        <v>16</v>
      </c>
    </row>
    <row r="1196" spans="1:6" ht="20.100000000000001" customHeight="1">
      <c r="A1196" s="44">
        <v>1193</v>
      </c>
      <c r="B1196" s="45">
        <v>2021</v>
      </c>
      <c r="C1196" s="45" t="s">
        <v>23</v>
      </c>
      <c r="D1196" s="38" t="s">
        <v>2413</v>
      </c>
      <c r="E1196" s="38" t="s">
        <v>2818</v>
      </c>
      <c r="F1196" s="77">
        <v>3.01</v>
      </c>
    </row>
    <row r="1197" spans="1:6" ht="20.100000000000001" customHeight="1">
      <c r="A1197" s="44">
        <v>1194</v>
      </c>
      <c r="B1197" s="45">
        <v>2021</v>
      </c>
      <c r="C1197" s="45" t="s">
        <v>23</v>
      </c>
      <c r="D1197" s="38" t="s">
        <v>2414</v>
      </c>
      <c r="E1197" s="38" t="s">
        <v>2819</v>
      </c>
      <c r="F1197" s="77">
        <v>3.16</v>
      </c>
    </row>
    <row r="1198" spans="1:6" ht="20.100000000000001" customHeight="1">
      <c r="A1198" s="44">
        <v>1195</v>
      </c>
      <c r="B1198" s="44">
        <v>2022</v>
      </c>
      <c r="C1198" s="44" t="s">
        <v>2415</v>
      </c>
      <c r="D1198" s="38" t="s">
        <v>2416</v>
      </c>
      <c r="E1198" s="38" t="s">
        <v>2417</v>
      </c>
      <c r="F1198" s="77">
        <v>63</v>
      </c>
    </row>
    <row r="1199" spans="1:6" ht="20.100000000000001" customHeight="1">
      <c r="A1199" s="44">
        <v>1196</v>
      </c>
      <c r="B1199" s="45">
        <v>2021</v>
      </c>
      <c r="C1199" s="45" t="s">
        <v>2055</v>
      </c>
      <c r="D1199" s="38" t="s">
        <v>2418</v>
      </c>
      <c r="E1199" s="38" t="s">
        <v>2893</v>
      </c>
      <c r="F1199" s="77">
        <v>10.01</v>
      </c>
    </row>
    <row r="1200" spans="1:6" ht="20.100000000000001" customHeight="1">
      <c r="A1200" s="44">
        <v>1197</v>
      </c>
      <c r="B1200" s="45">
        <v>2022</v>
      </c>
      <c r="C1200" s="45" t="s">
        <v>2364</v>
      </c>
      <c r="D1200" s="38" t="s">
        <v>2419</v>
      </c>
      <c r="E1200" s="38" t="s">
        <v>2976</v>
      </c>
      <c r="F1200" s="77">
        <v>184.27500000000001</v>
      </c>
    </row>
    <row r="1201" spans="1:6" ht="20.100000000000001" customHeight="1">
      <c r="A1201" s="44">
        <v>1198</v>
      </c>
      <c r="B1201" s="45">
        <v>2022</v>
      </c>
      <c r="C1201" s="45" t="s">
        <v>2364</v>
      </c>
      <c r="D1201" s="38" t="s">
        <v>2431</v>
      </c>
      <c r="E1201" s="38" t="s">
        <v>2977</v>
      </c>
      <c r="F1201" s="77">
        <v>72.45</v>
      </c>
    </row>
    <row r="1202" spans="1:6" ht="20.100000000000001" customHeight="1">
      <c r="A1202" s="44">
        <v>1199</v>
      </c>
      <c r="B1202" s="44">
        <v>2022</v>
      </c>
      <c r="C1202" s="44" t="s">
        <v>2420</v>
      </c>
      <c r="D1202" s="38" t="s">
        <v>2421</v>
      </c>
      <c r="E1202" s="38" t="s">
        <v>2894</v>
      </c>
      <c r="F1202" s="77">
        <v>15.015000000000001</v>
      </c>
    </row>
    <row r="1203" spans="1:6" ht="20.100000000000001" customHeight="1">
      <c r="A1203" s="44">
        <v>1200</v>
      </c>
      <c r="B1203" s="44">
        <v>2022</v>
      </c>
      <c r="C1203" s="44" t="s">
        <v>2420</v>
      </c>
      <c r="D1203" s="38" t="s">
        <v>2422</v>
      </c>
      <c r="E1203" s="38" t="s">
        <v>2895</v>
      </c>
      <c r="F1203" s="77">
        <v>15.015000000000001</v>
      </c>
    </row>
    <row r="1204" spans="1:6" ht="20.100000000000001" customHeight="1">
      <c r="A1204" s="44">
        <v>1201</v>
      </c>
      <c r="B1204" s="44">
        <v>2022</v>
      </c>
      <c r="C1204" s="44" t="s">
        <v>2420</v>
      </c>
      <c r="D1204" s="38" t="s">
        <v>2423</v>
      </c>
      <c r="E1204" s="38" t="s">
        <v>2896</v>
      </c>
      <c r="F1204" s="77">
        <v>20.02</v>
      </c>
    </row>
    <row r="1205" spans="1:6" ht="20.100000000000001" customHeight="1">
      <c r="A1205" s="44">
        <v>1202</v>
      </c>
      <c r="B1205" s="44">
        <v>2022</v>
      </c>
      <c r="C1205" s="44" t="s">
        <v>2420</v>
      </c>
      <c r="D1205" s="38" t="s">
        <v>2424</v>
      </c>
      <c r="E1205" s="38" t="s">
        <v>2897</v>
      </c>
      <c r="F1205" s="77">
        <v>23.4</v>
      </c>
    </row>
    <row r="1206" spans="1:6" ht="20.100000000000001" customHeight="1">
      <c r="A1206" s="44">
        <v>1203</v>
      </c>
      <c r="B1206" s="44">
        <v>2022</v>
      </c>
      <c r="C1206" s="44" t="s">
        <v>2420</v>
      </c>
      <c r="D1206" s="38" t="s">
        <v>2425</v>
      </c>
      <c r="E1206" s="38" t="s">
        <v>2898</v>
      </c>
      <c r="F1206" s="77">
        <v>219.20599999999999</v>
      </c>
    </row>
    <row r="1207" spans="1:6" ht="20.100000000000001" customHeight="1">
      <c r="A1207" s="44">
        <v>1204</v>
      </c>
      <c r="B1207" s="45">
        <v>2021</v>
      </c>
      <c r="C1207" s="45" t="s">
        <v>34</v>
      </c>
      <c r="D1207" s="38" t="s">
        <v>2426</v>
      </c>
      <c r="E1207" s="38" t="s">
        <v>2427</v>
      </c>
      <c r="F1207" s="77">
        <v>13.6</v>
      </c>
    </row>
    <row r="1208" spans="1:6" ht="20.100000000000001" customHeight="1">
      <c r="A1208" s="44">
        <v>1205</v>
      </c>
      <c r="B1208" s="45">
        <v>2021</v>
      </c>
      <c r="C1208" s="45" t="s">
        <v>34</v>
      </c>
      <c r="D1208" s="38" t="s">
        <v>2428</v>
      </c>
      <c r="E1208" s="38" t="s">
        <v>2429</v>
      </c>
      <c r="F1208" s="77">
        <v>18</v>
      </c>
    </row>
    <row r="1209" spans="1:6" ht="20.100000000000001" customHeight="1">
      <c r="A1209" s="44">
        <v>1206</v>
      </c>
      <c r="B1209" s="45">
        <v>2010</v>
      </c>
      <c r="C1209" s="45" t="s">
        <v>34</v>
      </c>
      <c r="D1209" s="38" t="s">
        <v>112</v>
      </c>
      <c r="E1209" s="38" t="s">
        <v>2430</v>
      </c>
      <c r="F1209" s="77">
        <v>30</v>
      </c>
    </row>
    <row r="1210" spans="1:6" ht="20.100000000000001" customHeight="1">
      <c r="A1210" s="44">
        <v>1207</v>
      </c>
      <c r="B1210" s="45">
        <v>2021</v>
      </c>
      <c r="C1210" s="45" t="s">
        <v>2017</v>
      </c>
      <c r="D1210" s="45" t="s">
        <v>2432</v>
      </c>
      <c r="E1210" s="45" t="s">
        <v>2433</v>
      </c>
      <c r="F1210" s="50">
        <v>6</v>
      </c>
    </row>
    <row r="1211" spans="1:6" ht="20.100000000000001" customHeight="1">
      <c r="A1211" s="44">
        <v>1208</v>
      </c>
      <c r="B1211" s="45">
        <v>2022</v>
      </c>
      <c r="C1211" s="45" t="s">
        <v>13</v>
      </c>
      <c r="D1211" s="38" t="s">
        <v>2439</v>
      </c>
      <c r="E1211" s="38" t="s">
        <v>2440</v>
      </c>
      <c r="F1211" s="77">
        <v>40</v>
      </c>
    </row>
    <row r="1212" spans="1:6" ht="20.100000000000001" customHeight="1">
      <c r="A1212" s="44">
        <v>1209</v>
      </c>
      <c r="B1212" s="45">
        <v>2015</v>
      </c>
      <c r="C1212" s="45" t="s">
        <v>13</v>
      </c>
      <c r="D1212" s="38" t="s">
        <v>2441</v>
      </c>
      <c r="E1212" s="38" t="s">
        <v>2442</v>
      </c>
      <c r="F1212" s="77">
        <v>6</v>
      </c>
    </row>
    <row r="1213" spans="1:6" ht="20.100000000000001" customHeight="1">
      <c r="A1213" s="44">
        <v>1210</v>
      </c>
      <c r="B1213" s="44">
        <v>2022</v>
      </c>
      <c r="C1213" s="44" t="s">
        <v>2443</v>
      </c>
      <c r="D1213" s="38" t="s">
        <v>2444</v>
      </c>
      <c r="E1213" s="38" t="s">
        <v>2450</v>
      </c>
      <c r="F1213" s="77">
        <f>0.445*7</f>
        <v>3.1150000000000002</v>
      </c>
    </row>
    <row r="1214" spans="1:6" ht="20.100000000000001" customHeight="1">
      <c r="A1214" s="44">
        <v>1211</v>
      </c>
      <c r="B1214" s="44">
        <v>2022</v>
      </c>
      <c r="C1214" s="44" t="s">
        <v>2443</v>
      </c>
      <c r="D1214" s="38" t="s">
        <v>2445</v>
      </c>
      <c r="E1214" s="38" t="s">
        <v>2451</v>
      </c>
      <c r="F1214" s="77">
        <f>0.445*7</f>
        <v>3.1150000000000002</v>
      </c>
    </row>
    <row r="1215" spans="1:6" ht="20.100000000000001" customHeight="1">
      <c r="A1215" s="44">
        <v>1212</v>
      </c>
      <c r="B1215" s="44">
        <v>2022</v>
      </c>
      <c r="C1215" s="44" t="s">
        <v>2443</v>
      </c>
      <c r="D1215" s="38" t="s">
        <v>2446</v>
      </c>
      <c r="E1215" s="38" t="s">
        <v>2452</v>
      </c>
      <c r="F1215" s="77">
        <f>0.445*7</f>
        <v>3.1150000000000002</v>
      </c>
    </row>
    <row r="1216" spans="1:6" ht="20.100000000000001" customHeight="1">
      <c r="A1216" s="44">
        <v>1213</v>
      </c>
      <c r="B1216" s="44">
        <v>2022</v>
      </c>
      <c r="C1216" s="44" t="s">
        <v>2443</v>
      </c>
      <c r="D1216" s="38" t="s">
        <v>2447</v>
      </c>
      <c r="E1216" s="38" t="s">
        <v>2453</v>
      </c>
      <c r="F1216" s="77">
        <f>0.445*7</f>
        <v>3.1150000000000002</v>
      </c>
    </row>
    <row r="1217" spans="1:6" ht="20.100000000000001" customHeight="1">
      <c r="A1217" s="44">
        <v>1214</v>
      </c>
      <c r="B1217" s="44">
        <v>2022</v>
      </c>
      <c r="C1217" s="44" t="s">
        <v>2443</v>
      </c>
      <c r="D1217" s="38" t="s">
        <v>2448</v>
      </c>
      <c r="E1217" s="38" t="s">
        <v>2454</v>
      </c>
      <c r="F1217" s="77">
        <f>0.445*7</f>
        <v>3.1150000000000002</v>
      </c>
    </row>
    <row r="1218" spans="1:6" ht="20.100000000000001" customHeight="1">
      <c r="A1218" s="44">
        <v>1215</v>
      </c>
      <c r="B1218" s="44">
        <v>2022</v>
      </c>
      <c r="C1218" s="44" t="s">
        <v>2443</v>
      </c>
      <c r="D1218" s="38" t="s">
        <v>2449</v>
      </c>
      <c r="E1218" s="38" t="s">
        <v>2455</v>
      </c>
      <c r="F1218" s="77">
        <f>0.445*7*2</f>
        <v>6.23</v>
      </c>
    </row>
    <row r="1219" spans="1:6" ht="20.100000000000001" customHeight="1">
      <c r="A1219" s="44">
        <v>1216</v>
      </c>
      <c r="B1219" s="45">
        <v>2022</v>
      </c>
      <c r="C1219" s="45" t="s">
        <v>64</v>
      </c>
      <c r="D1219" s="38" t="s">
        <v>2458</v>
      </c>
      <c r="E1219" s="38" t="s">
        <v>2459</v>
      </c>
      <c r="F1219" s="77">
        <v>24</v>
      </c>
    </row>
    <row r="1220" spans="1:6" ht="20.100000000000001" customHeight="1">
      <c r="A1220" s="44">
        <v>1217</v>
      </c>
      <c r="B1220" s="45">
        <v>2022</v>
      </c>
      <c r="C1220" s="45" t="s">
        <v>64</v>
      </c>
      <c r="D1220" s="38" t="s">
        <v>2995</v>
      </c>
      <c r="E1220" s="38" t="s">
        <v>2460</v>
      </c>
      <c r="F1220" s="77">
        <v>3.16</v>
      </c>
    </row>
    <row r="1221" spans="1:6" ht="20.100000000000001" customHeight="1">
      <c r="A1221" s="44">
        <v>1218</v>
      </c>
      <c r="B1221" s="45">
        <v>2022</v>
      </c>
      <c r="C1221" s="45" t="s">
        <v>64</v>
      </c>
      <c r="D1221" s="38" t="s">
        <v>2461</v>
      </c>
      <c r="E1221" s="38" t="s">
        <v>2462</v>
      </c>
      <c r="F1221" s="77">
        <v>13</v>
      </c>
    </row>
    <row r="1222" spans="1:6" ht="20.100000000000001" customHeight="1">
      <c r="A1222" s="44">
        <v>1219</v>
      </c>
      <c r="B1222" s="45">
        <v>2021</v>
      </c>
      <c r="C1222" s="45" t="s">
        <v>2037</v>
      </c>
      <c r="D1222" s="38" t="s">
        <v>2456</v>
      </c>
      <c r="E1222" s="38" t="s">
        <v>2846</v>
      </c>
      <c r="F1222" s="81">
        <v>52.46</v>
      </c>
    </row>
    <row r="1223" spans="1:6" ht="20.100000000000001" customHeight="1">
      <c r="A1223" s="44">
        <v>1220</v>
      </c>
      <c r="B1223" s="45">
        <v>2021</v>
      </c>
      <c r="C1223" s="45" t="s">
        <v>19</v>
      </c>
      <c r="D1223" s="38" t="s">
        <v>2434</v>
      </c>
      <c r="E1223" s="38" t="s">
        <v>2865</v>
      </c>
      <c r="F1223" s="77">
        <v>20</v>
      </c>
    </row>
    <row r="1224" spans="1:6" ht="20.100000000000001" customHeight="1">
      <c r="A1224" s="44">
        <v>1221</v>
      </c>
      <c r="B1224" s="45">
        <v>2021</v>
      </c>
      <c r="C1224" s="45" t="s">
        <v>19</v>
      </c>
      <c r="D1224" s="38" t="s">
        <v>2435</v>
      </c>
      <c r="E1224" s="38" t="s">
        <v>2866</v>
      </c>
      <c r="F1224" s="77">
        <v>10</v>
      </c>
    </row>
    <row r="1225" spans="1:6" ht="20.100000000000001" customHeight="1">
      <c r="A1225" s="44">
        <v>1222</v>
      </c>
      <c r="B1225" s="45">
        <v>2022</v>
      </c>
      <c r="C1225" s="45" t="s">
        <v>19</v>
      </c>
      <c r="D1225" s="38" t="s">
        <v>2436</v>
      </c>
      <c r="E1225" s="38" t="s">
        <v>2867</v>
      </c>
      <c r="F1225" s="77">
        <v>3.64</v>
      </c>
    </row>
    <row r="1226" spans="1:6" ht="20.100000000000001" customHeight="1">
      <c r="A1226" s="44">
        <v>1223</v>
      </c>
      <c r="B1226" s="45">
        <v>2022</v>
      </c>
      <c r="C1226" s="45" t="s">
        <v>19</v>
      </c>
      <c r="D1226" s="38" t="s">
        <v>2437</v>
      </c>
      <c r="E1226" s="38" t="s">
        <v>2868</v>
      </c>
      <c r="F1226" s="77">
        <v>6.4</v>
      </c>
    </row>
    <row r="1227" spans="1:6" ht="20.100000000000001" customHeight="1">
      <c r="A1227" s="44">
        <v>1224</v>
      </c>
      <c r="B1227" s="45">
        <v>2022</v>
      </c>
      <c r="C1227" s="45" t="s">
        <v>19</v>
      </c>
      <c r="D1227" s="38" t="s">
        <v>2438</v>
      </c>
      <c r="E1227" s="38" t="s">
        <v>2869</v>
      </c>
      <c r="F1227" s="77">
        <v>30</v>
      </c>
    </row>
    <row r="1228" spans="1:6" ht="20.100000000000001" customHeight="1">
      <c r="A1228" s="44">
        <v>1225</v>
      </c>
      <c r="B1228" s="44">
        <v>2022</v>
      </c>
      <c r="C1228" s="44" t="s">
        <v>70</v>
      </c>
      <c r="D1228" s="38" t="s">
        <v>2457</v>
      </c>
      <c r="E1228" s="38" t="s">
        <v>1513</v>
      </c>
      <c r="F1228" s="77">
        <v>15.8</v>
      </c>
    </row>
    <row r="1229" spans="1:6" ht="20.100000000000001" customHeight="1">
      <c r="A1229" s="44">
        <v>1226</v>
      </c>
      <c r="B1229" s="45">
        <v>2022</v>
      </c>
      <c r="C1229" s="45" t="s">
        <v>2469</v>
      </c>
      <c r="D1229" s="38" t="s">
        <v>2471</v>
      </c>
      <c r="E1229" s="38" t="s">
        <v>2470</v>
      </c>
      <c r="F1229" s="77">
        <v>21.84</v>
      </c>
    </row>
    <row r="1230" spans="1:6" ht="20.100000000000001" customHeight="1">
      <c r="A1230" s="44">
        <v>1227</v>
      </c>
      <c r="B1230" s="45">
        <v>2022</v>
      </c>
      <c r="C1230" s="45" t="s">
        <v>2479</v>
      </c>
      <c r="D1230" s="45" t="s">
        <v>2480</v>
      </c>
      <c r="E1230" s="45" t="s">
        <v>2481</v>
      </c>
      <c r="F1230" s="50">
        <v>8</v>
      </c>
    </row>
    <row r="1231" spans="1:6" ht="20.100000000000001" customHeight="1">
      <c r="A1231" s="44">
        <v>1228</v>
      </c>
      <c r="B1231" s="45">
        <v>2023</v>
      </c>
      <c r="C1231" s="45" t="s">
        <v>2479</v>
      </c>
      <c r="D1231" s="45" t="s">
        <v>2482</v>
      </c>
      <c r="E1231" s="45" t="s">
        <v>2892</v>
      </c>
      <c r="F1231" s="50">
        <v>3</v>
      </c>
    </row>
    <row r="1232" spans="1:6" ht="20.100000000000001" customHeight="1">
      <c r="A1232" s="44">
        <v>1229</v>
      </c>
      <c r="B1232" s="45">
        <v>2023</v>
      </c>
      <c r="C1232" s="45" t="s">
        <v>2140</v>
      </c>
      <c r="D1232" s="45" t="s">
        <v>2483</v>
      </c>
      <c r="E1232" s="45" t="s">
        <v>2484</v>
      </c>
      <c r="F1232" s="50">
        <v>8</v>
      </c>
    </row>
    <row r="1233" spans="1:6" ht="20.100000000000001" customHeight="1">
      <c r="A1233" s="44">
        <v>1230</v>
      </c>
      <c r="B1233" s="44">
        <v>2022</v>
      </c>
      <c r="C1233" s="41" t="s">
        <v>26</v>
      </c>
      <c r="D1233" s="38" t="s">
        <v>2487</v>
      </c>
      <c r="E1233" s="38" t="s">
        <v>2776</v>
      </c>
      <c r="F1233" s="77">
        <v>3</v>
      </c>
    </row>
    <row r="1234" spans="1:6" ht="20.100000000000001" customHeight="1">
      <c r="A1234" s="44">
        <v>1231</v>
      </c>
      <c r="B1234" s="44">
        <v>2023</v>
      </c>
      <c r="C1234" s="41" t="s">
        <v>26</v>
      </c>
      <c r="D1234" s="38" t="s">
        <v>2488</v>
      </c>
      <c r="E1234" s="38" t="s">
        <v>2777</v>
      </c>
      <c r="F1234" s="77">
        <v>3.48</v>
      </c>
    </row>
    <row r="1235" spans="1:6" ht="20.100000000000001" customHeight="1">
      <c r="A1235" s="44">
        <v>1232</v>
      </c>
      <c r="B1235" s="44">
        <v>2023</v>
      </c>
      <c r="C1235" s="41" t="s">
        <v>26</v>
      </c>
      <c r="D1235" s="38" t="s">
        <v>2489</v>
      </c>
      <c r="E1235" s="38" t="s">
        <v>2778</v>
      </c>
      <c r="F1235" s="77">
        <v>19.2</v>
      </c>
    </row>
    <row r="1236" spans="1:6" ht="20.100000000000001" customHeight="1">
      <c r="A1236" s="44">
        <v>1233</v>
      </c>
      <c r="B1236" s="44">
        <v>2023</v>
      </c>
      <c r="C1236" s="44" t="s">
        <v>70</v>
      </c>
      <c r="D1236" s="38" t="s">
        <v>2490</v>
      </c>
      <c r="E1236" s="38" t="s">
        <v>2491</v>
      </c>
      <c r="F1236" s="77">
        <v>28.5</v>
      </c>
    </row>
    <row r="1237" spans="1:6" ht="20.100000000000001" customHeight="1">
      <c r="A1237" s="44">
        <v>1234</v>
      </c>
      <c r="B1237" s="44">
        <v>2023</v>
      </c>
      <c r="C1237" s="44" t="s">
        <v>70</v>
      </c>
      <c r="D1237" s="38" t="s">
        <v>2492</v>
      </c>
      <c r="E1237" s="38" t="s">
        <v>2493</v>
      </c>
      <c r="F1237" s="77">
        <v>10</v>
      </c>
    </row>
    <row r="1238" spans="1:6" ht="20.100000000000001" customHeight="1">
      <c r="A1238" s="44">
        <v>1235</v>
      </c>
      <c r="B1238" s="44">
        <v>2023</v>
      </c>
      <c r="C1238" s="44" t="s">
        <v>33</v>
      </c>
      <c r="D1238" s="38" t="s">
        <v>2494</v>
      </c>
      <c r="E1238" s="38" t="s">
        <v>2831</v>
      </c>
      <c r="F1238" s="77">
        <v>23.4</v>
      </c>
    </row>
    <row r="1239" spans="1:6" ht="20.100000000000001" customHeight="1">
      <c r="A1239" s="44">
        <v>1236</v>
      </c>
      <c r="B1239" s="44">
        <v>2023</v>
      </c>
      <c r="C1239" s="44" t="s">
        <v>33</v>
      </c>
      <c r="D1239" s="38" t="s">
        <v>2495</v>
      </c>
      <c r="E1239" s="38" t="s">
        <v>2832</v>
      </c>
      <c r="F1239" s="77">
        <v>8.19</v>
      </c>
    </row>
    <row r="1240" spans="1:6" ht="20.100000000000001" customHeight="1">
      <c r="A1240" s="44">
        <v>1237</v>
      </c>
      <c r="B1240" s="44">
        <v>2023</v>
      </c>
      <c r="C1240" s="44" t="s">
        <v>33</v>
      </c>
      <c r="D1240" s="38" t="s">
        <v>2496</v>
      </c>
      <c r="E1240" s="38" t="s">
        <v>2833</v>
      </c>
      <c r="F1240" s="77">
        <v>22</v>
      </c>
    </row>
    <row r="1241" spans="1:6" ht="20.100000000000001" customHeight="1">
      <c r="A1241" s="44">
        <v>1238</v>
      </c>
      <c r="B1241" s="44">
        <v>2023</v>
      </c>
      <c r="C1241" s="44" t="s">
        <v>33</v>
      </c>
      <c r="D1241" s="38" t="s">
        <v>2497</v>
      </c>
      <c r="E1241" s="38" t="s">
        <v>2834</v>
      </c>
      <c r="F1241" s="77">
        <v>17.920000000000002</v>
      </c>
    </row>
    <row r="1242" spans="1:6" ht="20.100000000000001" customHeight="1">
      <c r="A1242" s="44">
        <v>1239</v>
      </c>
      <c r="B1242" s="44">
        <v>2023</v>
      </c>
      <c r="C1242" s="44" t="s">
        <v>33</v>
      </c>
      <c r="D1242" s="38" t="s">
        <v>2498</v>
      </c>
      <c r="E1242" s="38" t="s">
        <v>2835</v>
      </c>
      <c r="F1242" s="77">
        <v>3.32</v>
      </c>
    </row>
    <row r="1243" spans="1:6" ht="20.100000000000001" customHeight="1">
      <c r="A1243" s="44">
        <v>1240</v>
      </c>
      <c r="B1243" s="44">
        <v>2023</v>
      </c>
      <c r="C1243" s="44" t="s">
        <v>33</v>
      </c>
      <c r="D1243" s="38" t="s">
        <v>2499</v>
      </c>
      <c r="E1243" s="38" t="s">
        <v>2836</v>
      </c>
      <c r="F1243" s="77">
        <v>9.9</v>
      </c>
    </row>
    <row r="1244" spans="1:6" ht="20.100000000000001" customHeight="1">
      <c r="A1244" s="44">
        <v>1241</v>
      </c>
      <c r="B1244" s="44">
        <v>2023</v>
      </c>
      <c r="C1244" s="44" t="s">
        <v>33</v>
      </c>
      <c r="D1244" s="38" t="s">
        <v>2500</v>
      </c>
      <c r="E1244" s="38" t="s">
        <v>2837</v>
      </c>
      <c r="F1244" s="77">
        <v>21</v>
      </c>
    </row>
    <row r="1245" spans="1:6" ht="20.100000000000001" customHeight="1">
      <c r="A1245" s="44">
        <v>1242</v>
      </c>
      <c r="B1245" s="45">
        <v>2023</v>
      </c>
      <c r="C1245" s="45" t="s">
        <v>104</v>
      </c>
      <c r="D1245" s="45" t="s">
        <v>2501</v>
      </c>
      <c r="E1245" s="45" t="s">
        <v>1649</v>
      </c>
      <c r="F1245" s="50">
        <v>44</v>
      </c>
    </row>
    <row r="1246" spans="1:6" ht="20.100000000000001" customHeight="1">
      <c r="A1246" s="44">
        <v>1243</v>
      </c>
      <c r="B1246" s="44">
        <v>2023</v>
      </c>
      <c r="C1246" s="41" t="s">
        <v>2503</v>
      </c>
      <c r="D1246" s="44" t="s">
        <v>2504</v>
      </c>
      <c r="E1246" s="44" t="s">
        <v>1068</v>
      </c>
      <c r="F1246" s="50">
        <v>96</v>
      </c>
    </row>
    <row r="1247" spans="1:6" s="53" customFormat="1" ht="20.100000000000001" customHeight="1">
      <c r="A1247" s="44">
        <v>1244</v>
      </c>
      <c r="B1247" s="51">
        <v>2020</v>
      </c>
      <c r="C1247" s="51" t="s">
        <v>19</v>
      </c>
      <c r="D1247" s="51" t="s">
        <v>2513</v>
      </c>
      <c r="E1247" s="51" t="s">
        <v>2514</v>
      </c>
      <c r="F1247" s="82">
        <v>8</v>
      </c>
    </row>
    <row r="1248" spans="1:6" s="53" customFormat="1" ht="20.100000000000001" customHeight="1">
      <c r="A1248" s="44">
        <v>1245</v>
      </c>
      <c r="B1248" s="51">
        <v>2021</v>
      </c>
      <c r="C1248" s="51" t="s">
        <v>19</v>
      </c>
      <c r="D1248" s="51" t="s">
        <v>2515</v>
      </c>
      <c r="E1248" s="51" t="s">
        <v>2516</v>
      </c>
      <c r="F1248" s="82">
        <v>5.28</v>
      </c>
    </row>
    <row r="1249" spans="1:6" s="53" customFormat="1" ht="20.100000000000001" customHeight="1">
      <c r="A1249" s="44">
        <v>1246</v>
      </c>
      <c r="B1249" s="51">
        <v>2023</v>
      </c>
      <c r="C1249" s="51" t="s">
        <v>19</v>
      </c>
      <c r="D1249" s="51" t="s">
        <v>2507</v>
      </c>
      <c r="E1249" s="51" t="s">
        <v>2508</v>
      </c>
      <c r="F1249" s="82">
        <v>40</v>
      </c>
    </row>
    <row r="1250" spans="1:6" s="53" customFormat="1" ht="20.100000000000001" customHeight="1">
      <c r="A1250" s="44">
        <v>1247</v>
      </c>
      <c r="B1250" s="51">
        <v>2023</v>
      </c>
      <c r="C1250" s="51" t="s">
        <v>19</v>
      </c>
      <c r="D1250" s="51" t="s">
        <v>2509</v>
      </c>
      <c r="E1250" s="51" t="s">
        <v>2510</v>
      </c>
      <c r="F1250" s="82">
        <v>25</v>
      </c>
    </row>
    <row r="1251" spans="1:6" s="53" customFormat="1" ht="20.100000000000001" customHeight="1">
      <c r="A1251" s="44">
        <v>1248</v>
      </c>
      <c r="B1251" s="51">
        <v>2023</v>
      </c>
      <c r="C1251" s="51" t="s">
        <v>19</v>
      </c>
      <c r="D1251" s="51" t="s">
        <v>2511</v>
      </c>
      <c r="E1251" s="51" t="s">
        <v>2512</v>
      </c>
      <c r="F1251" s="82">
        <v>8</v>
      </c>
    </row>
    <row r="1252" spans="1:6" ht="20.100000000000001" customHeight="1">
      <c r="A1252" s="44">
        <v>1249</v>
      </c>
      <c r="B1252" s="45">
        <v>2021</v>
      </c>
      <c r="C1252" s="45" t="s">
        <v>3</v>
      </c>
      <c r="D1252" s="45" t="s">
        <v>2521</v>
      </c>
      <c r="E1252" s="45" t="s">
        <v>2522</v>
      </c>
      <c r="F1252" s="50">
        <v>52.92</v>
      </c>
    </row>
    <row r="1253" spans="1:6" ht="20.100000000000001" customHeight="1">
      <c r="A1253" s="44">
        <v>1250</v>
      </c>
      <c r="B1253" s="45">
        <v>2023</v>
      </c>
      <c r="C1253" s="45" t="s">
        <v>2050</v>
      </c>
      <c r="D1253" s="45" t="s">
        <v>2530</v>
      </c>
      <c r="E1253" s="45" t="s">
        <v>2531</v>
      </c>
      <c r="F1253" s="50">
        <v>44.8</v>
      </c>
    </row>
    <row r="1254" spans="1:6" ht="20.100000000000001" customHeight="1">
      <c r="A1254" s="44">
        <v>1251</v>
      </c>
      <c r="B1254" s="45">
        <v>2023</v>
      </c>
      <c r="C1254" s="45" t="s">
        <v>88</v>
      </c>
      <c r="D1254" s="45" t="s">
        <v>2532</v>
      </c>
      <c r="E1254" s="45" t="s">
        <v>2533</v>
      </c>
      <c r="F1254" s="55">
        <v>43.2</v>
      </c>
    </row>
    <row r="1255" spans="1:6" ht="20.100000000000001" customHeight="1">
      <c r="A1255" s="44">
        <v>1252</v>
      </c>
      <c r="B1255" s="45">
        <v>2022</v>
      </c>
      <c r="C1255" s="45" t="s">
        <v>2037</v>
      </c>
      <c r="D1255" s="38" t="s">
        <v>2534</v>
      </c>
      <c r="E1255" s="38" t="s">
        <v>2535</v>
      </c>
      <c r="F1255" s="81">
        <v>26</v>
      </c>
    </row>
    <row r="1256" spans="1:6" ht="20.100000000000001" customHeight="1">
      <c r="A1256" s="44">
        <v>1253</v>
      </c>
      <c r="B1256" s="45">
        <v>2023</v>
      </c>
      <c r="C1256" s="45" t="s">
        <v>2037</v>
      </c>
      <c r="D1256" s="38" t="s">
        <v>2536</v>
      </c>
      <c r="E1256" s="38" t="s">
        <v>2537</v>
      </c>
      <c r="F1256" s="81">
        <v>3</v>
      </c>
    </row>
    <row r="1257" spans="1:6" ht="20.100000000000001" customHeight="1">
      <c r="A1257" s="44">
        <v>1254</v>
      </c>
      <c r="B1257" s="45">
        <v>2019</v>
      </c>
      <c r="C1257" s="45" t="s">
        <v>104</v>
      </c>
      <c r="D1257" s="45" t="s">
        <v>2539</v>
      </c>
      <c r="E1257" s="45" t="s">
        <v>2727</v>
      </c>
      <c r="F1257" s="50">
        <v>1.3</v>
      </c>
    </row>
    <row r="1258" spans="1:6" ht="20.100000000000001" customHeight="1">
      <c r="A1258" s="44">
        <v>1255</v>
      </c>
      <c r="B1258" s="45">
        <v>2019</v>
      </c>
      <c r="C1258" s="45" t="s">
        <v>104</v>
      </c>
      <c r="D1258" s="45" t="s">
        <v>2540</v>
      </c>
      <c r="E1258" s="45" t="s">
        <v>2728</v>
      </c>
      <c r="F1258" s="50">
        <v>1.3</v>
      </c>
    </row>
    <row r="1259" spans="1:6" ht="20.100000000000001" customHeight="1">
      <c r="A1259" s="44">
        <v>1256</v>
      </c>
      <c r="B1259" s="45">
        <v>2019</v>
      </c>
      <c r="C1259" s="45" t="s">
        <v>104</v>
      </c>
      <c r="D1259" s="45" t="s">
        <v>2541</v>
      </c>
      <c r="E1259" s="45" t="s">
        <v>2729</v>
      </c>
      <c r="F1259" s="50">
        <v>1.3</v>
      </c>
    </row>
    <row r="1260" spans="1:6" ht="20.100000000000001" customHeight="1">
      <c r="A1260" s="44">
        <v>1257</v>
      </c>
      <c r="B1260" s="45">
        <v>2019</v>
      </c>
      <c r="C1260" s="45" t="s">
        <v>104</v>
      </c>
      <c r="D1260" s="45" t="s">
        <v>2542</v>
      </c>
      <c r="E1260" s="45" t="s">
        <v>2730</v>
      </c>
      <c r="F1260" s="50">
        <v>1.3</v>
      </c>
    </row>
    <row r="1261" spans="1:6" ht="20.100000000000001" customHeight="1">
      <c r="A1261" s="44">
        <v>1258</v>
      </c>
      <c r="B1261" s="45">
        <v>2019</v>
      </c>
      <c r="C1261" s="45" t="s">
        <v>104</v>
      </c>
      <c r="D1261" s="45" t="s">
        <v>2543</v>
      </c>
      <c r="E1261" s="45" t="s">
        <v>2731</v>
      </c>
      <c r="F1261" s="50">
        <v>1.3</v>
      </c>
    </row>
    <row r="1262" spans="1:6" ht="20.100000000000001" customHeight="1">
      <c r="A1262" s="44">
        <v>1259</v>
      </c>
      <c r="B1262" s="45">
        <v>2019</v>
      </c>
      <c r="C1262" s="45" t="s">
        <v>104</v>
      </c>
      <c r="D1262" s="45" t="s">
        <v>2544</v>
      </c>
      <c r="E1262" s="45" t="s">
        <v>2732</v>
      </c>
      <c r="F1262" s="50">
        <v>1.3</v>
      </c>
    </row>
    <row r="1263" spans="1:6" ht="20.100000000000001" customHeight="1">
      <c r="A1263" s="44">
        <v>1260</v>
      </c>
      <c r="B1263" s="45">
        <v>2019</v>
      </c>
      <c r="C1263" s="45" t="s">
        <v>104</v>
      </c>
      <c r="D1263" s="45" t="s">
        <v>442</v>
      </c>
      <c r="E1263" s="45" t="s">
        <v>2733</v>
      </c>
      <c r="F1263" s="50">
        <v>1.3</v>
      </c>
    </row>
    <row r="1264" spans="1:6" ht="20.100000000000001" customHeight="1">
      <c r="A1264" s="44">
        <v>1261</v>
      </c>
      <c r="B1264" s="45">
        <v>2019</v>
      </c>
      <c r="C1264" s="45" t="s">
        <v>104</v>
      </c>
      <c r="D1264" s="45" t="s">
        <v>2545</v>
      </c>
      <c r="E1264" s="45" t="s">
        <v>2734</v>
      </c>
      <c r="F1264" s="50">
        <v>1.3</v>
      </c>
    </row>
    <row r="1265" spans="1:6" ht="20.100000000000001" customHeight="1">
      <c r="A1265" s="44">
        <v>1262</v>
      </c>
      <c r="B1265" s="45">
        <v>2019</v>
      </c>
      <c r="C1265" s="45" t="s">
        <v>104</v>
      </c>
      <c r="D1265" s="45" t="s">
        <v>2546</v>
      </c>
      <c r="E1265" s="45" t="s">
        <v>2735</v>
      </c>
      <c r="F1265" s="50">
        <v>1.3</v>
      </c>
    </row>
    <row r="1266" spans="1:6" ht="20.100000000000001" customHeight="1">
      <c r="A1266" s="44">
        <v>1263</v>
      </c>
      <c r="B1266" s="45">
        <v>2019</v>
      </c>
      <c r="C1266" s="45" t="s">
        <v>104</v>
      </c>
      <c r="D1266" s="45" t="s">
        <v>2547</v>
      </c>
      <c r="E1266" s="45" t="s">
        <v>2736</v>
      </c>
      <c r="F1266" s="50">
        <v>1.3</v>
      </c>
    </row>
    <row r="1267" spans="1:6" ht="20.100000000000001" customHeight="1">
      <c r="A1267" s="44">
        <v>1264</v>
      </c>
      <c r="B1267" s="45">
        <v>2019</v>
      </c>
      <c r="C1267" s="45" t="s">
        <v>104</v>
      </c>
      <c r="D1267" s="45" t="s">
        <v>2548</v>
      </c>
      <c r="E1267" s="45" t="s">
        <v>2737</v>
      </c>
      <c r="F1267" s="50">
        <v>1.3</v>
      </c>
    </row>
    <row r="1268" spans="1:6" ht="20.100000000000001" customHeight="1">
      <c r="A1268" s="44">
        <v>1265</v>
      </c>
      <c r="B1268" s="44">
        <v>2022</v>
      </c>
      <c r="C1268" s="44" t="s">
        <v>1281</v>
      </c>
      <c r="D1268" s="38" t="s">
        <v>2577</v>
      </c>
      <c r="E1268" s="38" t="s">
        <v>2578</v>
      </c>
      <c r="F1268" s="77">
        <v>30</v>
      </c>
    </row>
    <row r="1269" spans="1:6" ht="20.100000000000001" customHeight="1">
      <c r="A1269" s="44">
        <v>1266</v>
      </c>
      <c r="B1269" s="44">
        <v>2023</v>
      </c>
      <c r="C1269" s="44" t="s">
        <v>1281</v>
      </c>
      <c r="D1269" s="38" t="s">
        <v>2579</v>
      </c>
      <c r="E1269" s="38" t="s">
        <v>2580</v>
      </c>
      <c r="F1269" s="77">
        <v>48.5</v>
      </c>
    </row>
    <row r="1270" spans="1:6" ht="20.100000000000001" customHeight="1">
      <c r="A1270" s="44">
        <v>1267</v>
      </c>
      <c r="B1270" s="44">
        <v>2023</v>
      </c>
      <c r="C1270" s="44" t="s">
        <v>1281</v>
      </c>
      <c r="D1270" s="38" t="s">
        <v>2581</v>
      </c>
      <c r="E1270" s="38" t="s">
        <v>2582</v>
      </c>
      <c r="F1270" s="77">
        <v>44.1</v>
      </c>
    </row>
    <row r="1271" spans="1:6" ht="20.100000000000001" customHeight="1">
      <c r="A1271" s="44">
        <v>1268</v>
      </c>
      <c r="B1271" s="37">
        <v>2024</v>
      </c>
      <c r="C1271" s="45" t="s">
        <v>1281</v>
      </c>
      <c r="D1271" s="37" t="s">
        <v>2583</v>
      </c>
      <c r="E1271" s="65" t="s">
        <v>2584</v>
      </c>
      <c r="F1271" s="76">
        <v>8.4</v>
      </c>
    </row>
    <row r="1272" spans="1:6" ht="20.100000000000001" customHeight="1">
      <c r="A1272" s="44">
        <v>1269</v>
      </c>
      <c r="B1272" s="44">
        <v>2024</v>
      </c>
      <c r="C1272" s="41" t="s">
        <v>31</v>
      </c>
      <c r="D1272" s="44" t="s">
        <v>111</v>
      </c>
      <c r="E1272" s="44" t="s">
        <v>1686</v>
      </c>
      <c r="F1272" s="50">
        <v>94</v>
      </c>
    </row>
    <row r="1273" spans="1:6" ht="20.100000000000001" customHeight="1">
      <c r="A1273" s="44">
        <v>1270</v>
      </c>
      <c r="B1273" s="45">
        <v>2023</v>
      </c>
      <c r="C1273" s="45" t="s">
        <v>1281</v>
      </c>
      <c r="D1273" s="45" t="s">
        <v>2595</v>
      </c>
      <c r="E1273" s="45" t="s">
        <v>2596</v>
      </c>
      <c r="F1273" s="50">
        <v>7</v>
      </c>
    </row>
    <row r="1274" spans="1:6" ht="20.100000000000001" customHeight="1">
      <c r="A1274" s="44">
        <v>1271</v>
      </c>
      <c r="B1274" s="45">
        <v>2024</v>
      </c>
      <c r="C1274" s="45" t="s">
        <v>2503</v>
      </c>
      <c r="D1274" s="45" t="s">
        <v>2597</v>
      </c>
      <c r="E1274" s="45" t="s">
        <v>2598</v>
      </c>
      <c r="F1274" s="50">
        <v>96.6</v>
      </c>
    </row>
    <row r="1275" spans="1:6" ht="20.100000000000001" customHeight="1">
      <c r="A1275" s="44">
        <v>1272</v>
      </c>
      <c r="B1275" s="45">
        <v>2024</v>
      </c>
      <c r="C1275" s="45" t="s">
        <v>33</v>
      </c>
      <c r="D1275" s="38" t="s">
        <v>2599</v>
      </c>
      <c r="E1275" s="38" t="s">
        <v>2838</v>
      </c>
      <c r="F1275" s="77">
        <v>12</v>
      </c>
    </row>
    <row r="1276" spans="1:6" ht="20.100000000000001" customHeight="1">
      <c r="A1276" s="44">
        <v>1273</v>
      </c>
      <c r="B1276" s="45">
        <v>2024</v>
      </c>
      <c r="C1276" s="45" t="s">
        <v>33</v>
      </c>
      <c r="D1276" s="38" t="s">
        <v>2600</v>
      </c>
      <c r="E1276" s="38" t="s">
        <v>2839</v>
      </c>
      <c r="F1276" s="77">
        <v>40.875</v>
      </c>
    </row>
    <row r="1277" spans="1:6" ht="20.100000000000001" customHeight="1">
      <c r="A1277" s="44">
        <v>1274</v>
      </c>
      <c r="B1277" s="45">
        <v>2024</v>
      </c>
      <c r="C1277" s="47" t="s">
        <v>66</v>
      </c>
      <c r="D1277" s="45" t="s">
        <v>2601</v>
      </c>
      <c r="E1277" s="45" t="s">
        <v>1229</v>
      </c>
      <c r="F1277" s="50">
        <v>1336.66</v>
      </c>
    </row>
    <row r="1278" spans="1:6" ht="20.100000000000001" customHeight="1">
      <c r="A1278" s="44">
        <v>1275</v>
      </c>
      <c r="B1278" s="45">
        <v>2022</v>
      </c>
      <c r="C1278" s="45" t="s">
        <v>2047</v>
      </c>
      <c r="D1278" s="45" t="s">
        <v>2603</v>
      </c>
      <c r="E1278" s="45" t="s">
        <v>2883</v>
      </c>
      <c r="F1278" s="50">
        <v>20</v>
      </c>
    </row>
    <row r="1279" spans="1:6" ht="20.100000000000001" customHeight="1">
      <c r="A1279" s="44">
        <v>1276</v>
      </c>
      <c r="B1279" s="45">
        <v>2023</v>
      </c>
      <c r="C1279" s="45" t="s">
        <v>2047</v>
      </c>
      <c r="D1279" s="45" t="s">
        <v>2604</v>
      </c>
      <c r="E1279" s="45" t="s">
        <v>2884</v>
      </c>
      <c r="F1279" s="50">
        <v>10</v>
      </c>
    </row>
    <row r="1280" spans="1:6" ht="20.100000000000001" customHeight="1">
      <c r="A1280" s="44">
        <v>1277</v>
      </c>
      <c r="B1280" s="45">
        <v>2023</v>
      </c>
      <c r="C1280" s="45" t="s">
        <v>2047</v>
      </c>
      <c r="D1280" s="45" t="s">
        <v>2605</v>
      </c>
      <c r="E1280" s="45" t="s">
        <v>2885</v>
      </c>
      <c r="F1280" s="50">
        <v>6</v>
      </c>
    </row>
    <row r="1281" spans="1:6" ht="20.100000000000001" customHeight="1">
      <c r="A1281" s="44">
        <v>1278</v>
      </c>
      <c r="B1281" s="45">
        <v>2015</v>
      </c>
      <c r="C1281" s="45" t="s">
        <v>1491</v>
      </c>
      <c r="D1281" s="45" t="s">
        <v>2608</v>
      </c>
      <c r="E1281" s="45" t="s">
        <v>2609</v>
      </c>
      <c r="F1281" s="50">
        <v>13</v>
      </c>
    </row>
    <row r="1282" spans="1:6" ht="20.100000000000001" customHeight="1">
      <c r="A1282" s="44">
        <v>1279</v>
      </c>
      <c r="B1282" s="45">
        <v>2023</v>
      </c>
      <c r="C1282" s="45" t="s">
        <v>1140</v>
      </c>
      <c r="D1282" s="45" t="s">
        <v>2610</v>
      </c>
      <c r="E1282" s="45" t="s">
        <v>2611</v>
      </c>
      <c r="F1282" s="50">
        <v>41</v>
      </c>
    </row>
    <row r="1283" spans="1:6" ht="20.100000000000001" customHeight="1">
      <c r="A1283" s="44">
        <v>1280</v>
      </c>
      <c r="B1283" s="45">
        <v>2023</v>
      </c>
      <c r="C1283" s="45" t="s">
        <v>2037</v>
      </c>
      <c r="D1283" s="45" t="s">
        <v>2612</v>
      </c>
      <c r="E1283" s="45" t="s">
        <v>2613</v>
      </c>
      <c r="F1283" s="56">
        <v>3</v>
      </c>
    </row>
    <row r="1284" spans="1:6" ht="20.100000000000001" customHeight="1">
      <c r="A1284" s="44">
        <v>1281</v>
      </c>
      <c r="B1284" s="45">
        <v>2023</v>
      </c>
      <c r="C1284" s="45" t="s">
        <v>2037</v>
      </c>
      <c r="D1284" s="45" t="s">
        <v>2614</v>
      </c>
      <c r="E1284" s="45" t="s">
        <v>2615</v>
      </c>
      <c r="F1284" s="56">
        <v>3</v>
      </c>
    </row>
    <row r="1285" spans="1:6" ht="20.100000000000001" customHeight="1">
      <c r="A1285" s="44">
        <v>1282</v>
      </c>
      <c r="B1285" s="45">
        <v>2023</v>
      </c>
      <c r="C1285" s="47" t="s">
        <v>26</v>
      </c>
      <c r="D1285" s="83" t="s">
        <v>2616</v>
      </c>
      <c r="E1285" s="40" t="s">
        <v>2659</v>
      </c>
      <c r="F1285" s="84">
        <v>6.54</v>
      </c>
    </row>
    <row r="1286" spans="1:6" ht="20.100000000000001" customHeight="1">
      <c r="A1286" s="44">
        <v>1283</v>
      </c>
      <c r="B1286" s="45">
        <v>2023</v>
      </c>
      <c r="C1286" s="47" t="s">
        <v>26</v>
      </c>
      <c r="D1286" s="83" t="s">
        <v>2617</v>
      </c>
      <c r="E1286" s="40" t="s">
        <v>2660</v>
      </c>
      <c r="F1286" s="84">
        <v>19.5</v>
      </c>
    </row>
    <row r="1287" spans="1:6" ht="20.100000000000001" customHeight="1">
      <c r="A1287" s="44">
        <v>1284</v>
      </c>
      <c r="B1287" s="45">
        <v>2024</v>
      </c>
      <c r="C1287" s="47" t="s">
        <v>26</v>
      </c>
      <c r="D1287" s="83" t="s">
        <v>2618</v>
      </c>
      <c r="E1287" s="40" t="s">
        <v>2661</v>
      </c>
      <c r="F1287" s="84">
        <v>58.5</v>
      </c>
    </row>
    <row r="1288" spans="1:6" ht="20.100000000000001" customHeight="1">
      <c r="A1288" s="44">
        <v>1285</v>
      </c>
      <c r="B1288" s="45">
        <v>2024</v>
      </c>
      <c r="C1288" s="47" t="s">
        <v>26</v>
      </c>
      <c r="D1288" s="83" t="s">
        <v>2619</v>
      </c>
      <c r="E1288" s="40" t="s">
        <v>2662</v>
      </c>
      <c r="F1288" s="84">
        <v>7</v>
      </c>
    </row>
    <row r="1289" spans="1:6" ht="20.100000000000001" customHeight="1">
      <c r="A1289" s="44">
        <v>1286</v>
      </c>
      <c r="B1289" s="45">
        <v>2024</v>
      </c>
      <c r="C1289" s="47" t="s">
        <v>26</v>
      </c>
      <c r="D1289" s="83" t="s">
        <v>2620</v>
      </c>
      <c r="E1289" s="40" t="s">
        <v>2663</v>
      </c>
      <c r="F1289" s="84">
        <v>24</v>
      </c>
    </row>
    <row r="1290" spans="1:6" ht="20.100000000000001" customHeight="1">
      <c r="A1290" s="44">
        <v>1287</v>
      </c>
      <c r="B1290" s="45">
        <v>2024</v>
      </c>
      <c r="C1290" s="45" t="s">
        <v>2622</v>
      </c>
      <c r="D1290" s="45" t="s">
        <v>2623</v>
      </c>
      <c r="E1290" s="45" t="s">
        <v>2624</v>
      </c>
      <c r="F1290" s="50">
        <v>30</v>
      </c>
    </row>
    <row r="1291" spans="1:6" ht="20.100000000000001" customHeight="1">
      <c r="A1291" s="44">
        <v>1288</v>
      </c>
      <c r="B1291" s="45">
        <v>2022</v>
      </c>
      <c r="C1291" s="45" t="s">
        <v>2622</v>
      </c>
      <c r="D1291" s="45" t="s">
        <v>2625</v>
      </c>
      <c r="E1291" s="45" t="s">
        <v>2626</v>
      </c>
      <c r="F1291" s="50">
        <v>3</v>
      </c>
    </row>
    <row r="1292" spans="1:6" ht="20.100000000000001" customHeight="1">
      <c r="A1292" s="44">
        <v>1289</v>
      </c>
      <c r="B1292" s="45">
        <v>2021</v>
      </c>
      <c r="C1292" s="45" t="s">
        <v>2622</v>
      </c>
      <c r="D1292" s="45" t="s">
        <v>2627</v>
      </c>
      <c r="E1292" s="45" t="s">
        <v>2628</v>
      </c>
      <c r="F1292" s="50">
        <v>3</v>
      </c>
    </row>
    <row r="1293" spans="1:6" s="53" customFormat="1" ht="20.100000000000001" customHeight="1">
      <c r="A1293" s="44">
        <v>1290</v>
      </c>
      <c r="B1293" s="40">
        <v>2023</v>
      </c>
      <c r="C1293" s="52" t="s">
        <v>43</v>
      </c>
      <c r="D1293" s="40" t="s">
        <v>2632</v>
      </c>
      <c r="E1293" s="40" t="s">
        <v>2633</v>
      </c>
      <c r="F1293" s="62">
        <v>54.36</v>
      </c>
    </row>
    <row r="1294" spans="1:6" ht="20.100000000000001" customHeight="1">
      <c r="A1294" s="44">
        <v>1291</v>
      </c>
      <c r="B1294" s="45">
        <v>2024</v>
      </c>
      <c r="C1294" s="45" t="s">
        <v>2144</v>
      </c>
      <c r="D1294" s="45" t="s">
        <v>2634</v>
      </c>
      <c r="E1294" s="45" t="s">
        <v>2635</v>
      </c>
      <c r="F1294" s="50">
        <v>12.1</v>
      </c>
    </row>
    <row r="1295" spans="1:6" ht="20.100000000000001" customHeight="1">
      <c r="A1295" s="44">
        <v>1292</v>
      </c>
      <c r="B1295" s="45">
        <v>2023</v>
      </c>
      <c r="C1295" s="45" t="s">
        <v>19</v>
      </c>
      <c r="D1295" s="45" t="s">
        <v>2636</v>
      </c>
      <c r="E1295" s="45" t="s">
        <v>2637</v>
      </c>
      <c r="F1295" s="50">
        <v>15</v>
      </c>
    </row>
    <row r="1296" spans="1:6" ht="20.100000000000001" customHeight="1">
      <c r="A1296" s="44">
        <v>1293</v>
      </c>
      <c r="B1296" s="45">
        <v>2018</v>
      </c>
      <c r="C1296" s="47" t="s">
        <v>2479</v>
      </c>
      <c r="D1296" s="45" t="s">
        <v>2639</v>
      </c>
      <c r="E1296" s="45" t="s">
        <v>2886</v>
      </c>
      <c r="F1296" s="50">
        <v>0.3</v>
      </c>
    </row>
    <row r="1297" spans="1:6" ht="20.100000000000001" customHeight="1">
      <c r="A1297" s="44">
        <v>1294</v>
      </c>
      <c r="B1297" s="45">
        <v>2020</v>
      </c>
      <c r="C1297" s="47" t="s">
        <v>2502</v>
      </c>
      <c r="D1297" s="45" t="s">
        <v>2646</v>
      </c>
      <c r="E1297" s="45" t="s">
        <v>2647</v>
      </c>
      <c r="F1297" s="50">
        <v>32</v>
      </c>
    </row>
    <row r="1298" spans="1:6" ht="20.100000000000001" customHeight="1">
      <c r="A1298" s="44">
        <v>1295</v>
      </c>
      <c r="B1298" s="45">
        <v>2023</v>
      </c>
      <c r="C1298" s="45" t="s">
        <v>1461</v>
      </c>
      <c r="D1298" s="45" t="s">
        <v>2648</v>
      </c>
      <c r="E1298" s="45" t="s">
        <v>2649</v>
      </c>
      <c r="F1298" s="50">
        <v>26.315999999999999</v>
      </c>
    </row>
    <row r="1299" spans="1:6" ht="20.100000000000001" customHeight="1">
      <c r="A1299" s="44">
        <v>1296</v>
      </c>
      <c r="B1299" s="85">
        <v>2024</v>
      </c>
      <c r="C1299" s="85" t="s">
        <v>1461</v>
      </c>
      <c r="D1299" s="85" t="s">
        <v>2650</v>
      </c>
      <c r="E1299" s="85" t="s">
        <v>2651</v>
      </c>
      <c r="F1299" s="92">
        <v>12.24</v>
      </c>
    </row>
    <row r="1300" spans="1:6" ht="20.100000000000001" customHeight="1">
      <c r="A1300" s="44">
        <v>1297</v>
      </c>
      <c r="B1300" s="45">
        <v>2022</v>
      </c>
      <c r="C1300" s="45" t="s">
        <v>2042</v>
      </c>
      <c r="D1300" s="45" t="s">
        <v>2653</v>
      </c>
      <c r="E1300" s="45" t="s">
        <v>2820</v>
      </c>
      <c r="F1300" s="50">
        <v>33</v>
      </c>
    </row>
    <row r="1301" spans="1:6" ht="20.100000000000001" customHeight="1">
      <c r="A1301" s="44">
        <v>1298</v>
      </c>
      <c r="B1301" s="45">
        <v>2021</v>
      </c>
      <c r="C1301" s="45" t="s">
        <v>2591</v>
      </c>
      <c r="D1301" s="45" t="s">
        <v>2664</v>
      </c>
      <c r="E1301" s="45" t="s">
        <v>2665</v>
      </c>
      <c r="F1301" s="55">
        <v>18</v>
      </c>
    </row>
    <row r="1302" spans="1:6" ht="20.100000000000001" customHeight="1">
      <c r="A1302" s="44">
        <v>1299</v>
      </c>
      <c r="B1302" s="45">
        <v>2024</v>
      </c>
      <c r="C1302" s="45" t="s">
        <v>2591</v>
      </c>
      <c r="D1302" s="45" t="s">
        <v>2666</v>
      </c>
      <c r="E1302" s="45" t="s">
        <v>2667</v>
      </c>
      <c r="F1302" s="55">
        <v>65</v>
      </c>
    </row>
    <row r="1303" spans="1:6" ht="20.100000000000001" customHeight="1">
      <c r="A1303" s="44">
        <v>1300</v>
      </c>
      <c r="B1303" s="45">
        <v>2023</v>
      </c>
      <c r="C1303" s="45" t="s">
        <v>1674</v>
      </c>
      <c r="D1303" s="45" t="s">
        <v>2668</v>
      </c>
      <c r="E1303" s="45" t="s">
        <v>2738</v>
      </c>
      <c r="F1303" s="50">
        <v>21</v>
      </c>
    </row>
    <row r="1304" spans="1:6" ht="20.100000000000001" customHeight="1">
      <c r="A1304" s="44">
        <v>1301</v>
      </c>
      <c r="B1304" s="45">
        <v>2023</v>
      </c>
      <c r="C1304" s="45" t="s">
        <v>1674</v>
      </c>
      <c r="D1304" s="45" t="s">
        <v>2669</v>
      </c>
      <c r="E1304" s="45" t="s">
        <v>2739</v>
      </c>
      <c r="F1304" s="50">
        <v>17</v>
      </c>
    </row>
    <row r="1305" spans="1:6" ht="20.100000000000001" customHeight="1">
      <c r="A1305" s="44">
        <v>1302</v>
      </c>
      <c r="B1305" s="45">
        <v>2024</v>
      </c>
      <c r="C1305" s="45" t="s">
        <v>1674</v>
      </c>
      <c r="D1305" s="45" t="s">
        <v>2670</v>
      </c>
      <c r="E1305" s="45" t="s">
        <v>2740</v>
      </c>
      <c r="F1305" s="50">
        <v>29</v>
      </c>
    </row>
    <row r="1306" spans="1:6" ht="20.100000000000001" customHeight="1">
      <c r="A1306" s="44">
        <v>1303</v>
      </c>
      <c r="B1306" s="45">
        <v>2024</v>
      </c>
      <c r="C1306" s="47" t="s">
        <v>573</v>
      </c>
      <c r="D1306" s="45" t="s">
        <v>3003</v>
      </c>
      <c r="E1306" s="45" t="s">
        <v>2012</v>
      </c>
      <c r="F1306" s="50">
        <v>60</v>
      </c>
    </row>
    <row r="1307" spans="1:6" ht="20.100000000000001" customHeight="1">
      <c r="A1307" s="44">
        <v>1304</v>
      </c>
      <c r="B1307" s="45">
        <v>2014</v>
      </c>
      <c r="C1307" s="47" t="s">
        <v>2674</v>
      </c>
      <c r="D1307" s="45" t="s">
        <v>3004</v>
      </c>
      <c r="E1307" s="45" t="s">
        <v>2675</v>
      </c>
      <c r="F1307" s="50">
        <v>3</v>
      </c>
    </row>
    <row r="1308" spans="1:6" ht="20.100000000000001" customHeight="1">
      <c r="A1308" s="44">
        <v>1305</v>
      </c>
      <c r="B1308" s="45">
        <v>2024</v>
      </c>
      <c r="C1308" s="45" t="s">
        <v>2364</v>
      </c>
      <c r="D1308" s="38" t="s">
        <v>2681</v>
      </c>
      <c r="E1308" s="38" t="s">
        <v>2978</v>
      </c>
      <c r="F1308" s="77">
        <v>753.83</v>
      </c>
    </row>
    <row r="1309" spans="1:6" ht="20.100000000000001" customHeight="1">
      <c r="A1309" s="44">
        <v>1306</v>
      </c>
      <c r="B1309" s="45">
        <v>2024</v>
      </c>
      <c r="C1309" s="45" t="s">
        <v>2622</v>
      </c>
      <c r="D1309" s="45" t="s">
        <v>2685</v>
      </c>
      <c r="E1309" s="38" t="s">
        <v>2686</v>
      </c>
      <c r="F1309" s="77">
        <v>82</v>
      </c>
    </row>
    <row r="1310" spans="1:6" ht="20.100000000000001" customHeight="1">
      <c r="A1310" s="44">
        <v>1307</v>
      </c>
      <c r="B1310" s="45">
        <v>2024</v>
      </c>
      <c r="C1310" s="45" t="s">
        <v>1281</v>
      </c>
      <c r="D1310" s="45" t="s">
        <v>2687</v>
      </c>
      <c r="E1310" s="45" t="s">
        <v>1224</v>
      </c>
      <c r="F1310" s="50">
        <v>31.2</v>
      </c>
    </row>
    <row r="1311" spans="1:6" s="86" customFormat="1" ht="20.100000000000001" customHeight="1">
      <c r="A1311" s="44">
        <v>1308</v>
      </c>
      <c r="B1311" s="45">
        <v>2024</v>
      </c>
      <c r="C1311" s="45" t="s">
        <v>2042</v>
      </c>
      <c r="D1311" s="38" t="s">
        <v>2688</v>
      </c>
      <c r="E1311" s="38" t="s">
        <v>2689</v>
      </c>
      <c r="F1311" s="77">
        <v>44</v>
      </c>
    </row>
    <row r="1312" spans="1:6" s="86" customFormat="1" ht="20.100000000000001" customHeight="1">
      <c r="A1312" s="44">
        <v>1309</v>
      </c>
      <c r="B1312" s="45">
        <v>2025</v>
      </c>
      <c r="C1312" s="45" t="s">
        <v>2042</v>
      </c>
      <c r="D1312" s="38" t="s">
        <v>2690</v>
      </c>
      <c r="E1312" s="38" t="s">
        <v>2691</v>
      </c>
      <c r="F1312" s="77">
        <v>166</v>
      </c>
    </row>
    <row r="1313" spans="1:6" s="86" customFormat="1" ht="20.100000000000001" customHeight="1">
      <c r="A1313" s="44">
        <v>1310</v>
      </c>
      <c r="B1313" s="45">
        <v>2025</v>
      </c>
      <c r="C1313" s="45" t="s">
        <v>2042</v>
      </c>
      <c r="D1313" s="45" t="s">
        <v>2692</v>
      </c>
      <c r="E1313" s="45" t="s">
        <v>2693</v>
      </c>
      <c r="F1313" s="50">
        <v>6.5</v>
      </c>
    </row>
    <row r="1314" spans="1:6" s="86" customFormat="1" ht="20.100000000000001" customHeight="1">
      <c r="A1314" s="44">
        <v>1311</v>
      </c>
      <c r="B1314" s="45">
        <v>2025</v>
      </c>
      <c r="C1314" s="45" t="s">
        <v>2042</v>
      </c>
      <c r="D1314" s="45" t="s">
        <v>2694</v>
      </c>
      <c r="E1314" s="45" t="s">
        <v>2695</v>
      </c>
      <c r="F1314" s="50">
        <v>7</v>
      </c>
    </row>
    <row r="1315" spans="1:6" s="86" customFormat="1" ht="20.100000000000001" customHeight="1">
      <c r="A1315" s="44">
        <v>1312</v>
      </c>
      <c r="B1315" s="45">
        <v>2025</v>
      </c>
      <c r="C1315" s="45" t="s">
        <v>2042</v>
      </c>
      <c r="D1315" s="45" t="s">
        <v>2696</v>
      </c>
      <c r="E1315" s="45" t="s">
        <v>2697</v>
      </c>
      <c r="F1315" s="50">
        <v>10</v>
      </c>
    </row>
    <row r="1316" spans="1:6" ht="20.100000000000001" customHeight="1">
      <c r="A1316" s="44">
        <v>1313</v>
      </c>
      <c r="B1316" s="45">
        <v>2025</v>
      </c>
      <c r="C1316" s="45" t="s">
        <v>2365</v>
      </c>
      <c r="D1316" s="45" t="s">
        <v>2704</v>
      </c>
      <c r="E1316" s="45" t="s">
        <v>2703</v>
      </c>
      <c r="F1316" s="50">
        <v>43.47</v>
      </c>
    </row>
    <row r="1317" spans="1:6" ht="20.100000000000001" customHeight="1">
      <c r="A1317" s="44">
        <v>1314</v>
      </c>
      <c r="B1317" s="45">
        <v>2024</v>
      </c>
      <c r="C1317" s="45" t="s">
        <v>2705</v>
      </c>
      <c r="D1317" s="45" t="s">
        <v>2706</v>
      </c>
      <c r="E1317" s="45" t="s">
        <v>2707</v>
      </c>
      <c r="F1317" s="50">
        <v>32.19</v>
      </c>
    </row>
    <row r="1318" spans="1:6" ht="20.100000000000001" customHeight="1">
      <c r="A1318" s="44">
        <v>1315</v>
      </c>
      <c r="B1318" s="45">
        <v>2025</v>
      </c>
      <c r="C1318" s="45" t="s">
        <v>1674</v>
      </c>
      <c r="D1318" s="45" t="s">
        <v>2710</v>
      </c>
      <c r="E1318" s="45" t="s">
        <v>2741</v>
      </c>
      <c r="F1318" s="50">
        <v>18</v>
      </c>
    </row>
    <row r="1319" spans="1:6" ht="20.100000000000001" customHeight="1">
      <c r="A1319" s="44">
        <v>1316</v>
      </c>
      <c r="B1319" s="45">
        <v>2025</v>
      </c>
      <c r="C1319" s="45" t="s">
        <v>1674</v>
      </c>
      <c r="D1319" s="45" t="s">
        <v>2711</v>
      </c>
      <c r="E1319" s="45" t="s">
        <v>2742</v>
      </c>
      <c r="F1319" s="50">
        <v>40</v>
      </c>
    </row>
    <row r="1320" spans="1:6" ht="20.100000000000001" customHeight="1">
      <c r="A1320" s="44">
        <v>1317</v>
      </c>
      <c r="B1320" s="45">
        <v>2024</v>
      </c>
      <c r="C1320" s="45" t="s">
        <v>2140</v>
      </c>
      <c r="D1320" s="45" t="s">
        <v>2746</v>
      </c>
      <c r="E1320" s="45" t="s">
        <v>2747</v>
      </c>
      <c r="F1320" s="50">
        <v>53</v>
      </c>
    </row>
    <row r="1321" spans="1:6" ht="20.100000000000001" customHeight="1">
      <c r="A1321" s="44">
        <v>1318</v>
      </c>
      <c r="B1321" s="45">
        <v>2024</v>
      </c>
      <c r="C1321" s="45" t="s">
        <v>2140</v>
      </c>
      <c r="D1321" s="45" t="s">
        <v>2748</v>
      </c>
      <c r="E1321" s="45" t="s">
        <v>2749</v>
      </c>
      <c r="F1321" s="50">
        <v>26</v>
      </c>
    </row>
    <row r="1322" spans="1:6" ht="20.100000000000001" customHeight="1">
      <c r="A1322" s="44">
        <v>1319</v>
      </c>
      <c r="B1322" s="45">
        <v>2025</v>
      </c>
      <c r="C1322" s="45" t="s">
        <v>2140</v>
      </c>
      <c r="D1322" s="45" t="s">
        <v>2750</v>
      </c>
      <c r="E1322" s="45" t="s">
        <v>2751</v>
      </c>
      <c r="F1322" s="50">
        <v>26</v>
      </c>
    </row>
    <row r="1323" spans="1:6" ht="20.100000000000001" customHeight="1">
      <c r="A1323" s="44">
        <v>1320</v>
      </c>
      <c r="B1323" s="37">
        <v>2021</v>
      </c>
      <c r="C1323" s="75" t="s">
        <v>26</v>
      </c>
      <c r="D1323" s="37" t="s">
        <v>2758</v>
      </c>
      <c r="E1323" s="65" t="s">
        <v>2759</v>
      </c>
      <c r="F1323" s="87">
        <v>50</v>
      </c>
    </row>
    <row r="1324" spans="1:6" ht="20.100000000000001" customHeight="1">
      <c r="A1324" s="44">
        <v>1321</v>
      </c>
      <c r="B1324" s="45">
        <v>2025</v>
      </c>
      <c r="C1324" s="45" t="s">
        <v>1456</v>
      </c>
      <c r="D1324" s="45" t="s">
        <v>2783</v>
      </c>
      <c r="E1324" s="45" t="s">
        <v>2887</v>
      </c>
      <c r="F1324" s="50">
        <v>401.31</v>
      </c>
    </row>
    <row r="1325" spans="1:6" s="86" customFormat="1" ht="20.100000000000001" customHeight="1">
      <c r="A1325" s="44">
        <v>1322</v>
      </c>
      <c r="B1325" s="45">
        <v>2023</v>
      </c>
      <c r="C1325" s="45" t="s">
        <v>2131</v>
      </c>
      <c r="D1325" s="38" t="s">
        <v>2784</v>
      </c>
      <c r="E1325" s="38" t="s">
        <v>2888</v>
      </c>
      <c r="F1325" s="88">
        <v>67</v>
      </c>
    </row>
    <row r="1326" spans="1:6" s="86" customFormat="1" ht="20.100000000000001" customHeight="1">
      <c r="A1326" s="44">
        <v>1323</v>
      </c>
      <c r="B1326" s="45">
        <v>2025</v>
      </c>
      <c r="C1326" s="45" t="s">
        <v>2131</v>
      </c>
      <c r="D1326" s="38" t="s">
        <v>2785</v>
      </c>
      <c r="E1326" s="38" t="s">
        <v>2889</v>
      </c>
      <c r="F1326" s="88">
        <v>13.2</v>
      </c>
    </row>
    <row r="1327" spans="1:6" s="86" customFormat="1" ht="20.100000000000001" customHeight="1">
      <c r="A1327" s="44">
        <v>1324</v>
      </c>
      <c r="B1327" s="45">
        <v>2025</v>
      </c>
      <c r="C1327" s="45" t="s">
        <v>1680</v>
      </c>
      <c r="D1327" s="45" t="s">
        <v>2821</v>
      </c>
      <c r="E1327" s="45" t="s">
        <v>2840</v>
      </c>
      <c r="F1327" s="50">
        <v>49.5</v>
      </c>
    </row>
    <row r="1328" spans="1:6" ht="20.100000000000001" customHeight="1">
      <c r="A1328" s="44">
        <v>1325</v>
      </c>
      <c r="B1328" s="45">
        <v>2025</v>
      </c>
      <c r="C1328" s="45" t="s">
        <v>1680</v>
      </c>
      <c r="D1328" s="45" t="s">
        <v>2822</v>
      </c>
      <c r="E1328" s="45" t="s">
        <v>2841</v>
      </c>
      <c r="F1328" s="50">
        <v>15</v>
      </c>
    </row>
    <row r="1329" spans="1:6" s="86" customFormat="1" ht="20.100000000000001" customHeight="1">
      <c r="A1329" s="44">
        <v>1326</v>
      </c>
      <c r="B1329" s="45">
        <v>2024</v>
      </c>
      <c r="C1329" s="45" t="s">
        <v>2037</v>
      </c>
      <c r="D1329" s="47" t="s">
        <v>2842</v>
      </c>
      <c r="E1329" s="47" t="s">
        <v>2847</v>
      </c>
      <c r="F1329" s="89">
        <v>168</v>
      </c>
    </row>
    <row r="1330" spans="1:6" s="86" customFormat="1" ht="20.100000000000001" customHeight="1">
      <c r="A1330" s="44">
        <v>1327</v>
      </c>
      <c r="B1330" s="45">
        <v>2025</v>
      </c>
      <c r="C1330" s="45" t="s">
        <v>2037</v>
      </c>
      <c r="D1330" s="47" t="s">
        <v>2843</v>
      </c>
      <c r="E1330" s="47" t="s">
        <v>2848</v>
      </c>
      <c r="F1330" s="89">
        <v>27.6</v>
      </c>
    </row>
    <row r="1331" spans="1:6" ht="20.100000000000001" customHeight="1">
      <c r="A1331" s="44">
        <v>1328</v>
      </c>
      <c r="B1331" s="45">
        <v>2021</v>
      </c>
      <c r="C1331" s="45" t="s">
        <v>2144</v>
      </c>
      <c r="D1331" s="45" t="s">
        <v>2849</v>
      </c>
      <c r="E1331" s="45" t="s">
        <v>2850</v>
      </c>
      <c r="F1331" s="50">
        <v>5.28</v>
      </c>
    </row>
    <row r="1332" spans="1:6" ht="20.100000000000001" customHeight="1">
      <c r="A1332" s="44">
        <v>1329</v>
      </c>
      <c r="B1332" s="45">
        <v>2024</v>
      </c>
      <c r="C1332" s="45" t="s">
        <v>2144</v>
      </c>
      <c r="D1332" s="45" t="s">
        <v>2851</v>
      </c>
      <c r="E1332" s="45" t="s">
        <v>2852</v>
      </c>
      <c r="F1332" s="50">
        <v>5</v>
      </c>
    </row>
    <row r="1333" spans="1:6" ht="20.100000000000001" customHeight="1">
      <c r="A1333" s="44">
        <v>1330</v>
      </c>
      <c r="B1333" s="45">
        <v>2024</v>
      </c>
      <c r="C1333" s="45" t="s">
        <v>2144</v>
      </c>
      <c r="D1333" s="45" t="s">
        <v>2853</v>
      </c>
      <c r="E1333" s="45" t="s">
        <v>2854</v>
      </c>
      <c r="F1333" s="50">
        <v>5</v>
      </c>
    </row>
    <row r="1334" spans="1:6" ht="20.100000000000001" customHeight="1">
      <c r="A1334" s="44">
        <v>1331</v>
      </c>
      <c r="B1334" s="45">
        <v>2024</v>
      </c>
      <c r="C1334" s="45" t="s">
        <v>2144</v>
      </c>
      <c r="D1334" s="45" t="s">
        <v>2855</v>
      </c>
      <c r="E1334" s="45" t="s">
        <v>2856</v>
      </c>
      <c r="F1334" s="50">
        <v>29</v>
      </c>
    </row>
    <row r="1335" spans="1:6" ht="20.100000000000001" customHeight="1">
      <c r="A1335" s="44">
        <v>1332</v>
      </c>
      <c r="B1335" s="45">
        <v>2025</v>
      </c>
      <c r="C1335" s="45" t="s">
        <v>2144</v>
      </c>
      <c r="D1335" s="45" t="s">
        <v>2857</v>
      </c>
      <c r="E1335" s="45" t="s">
        <v>2858</v>
      </c>
      <c r="F1335" s="50">
        <v>76.28</v>
      </c>
    </row>
    <row r="1336" spans="1:6" ht="20.100000000000001" customHeight="1">
      <c r="A1336" s="44">
        <v>1333</v>
      </c>
      <c r="B1336" s="45">
        <v>2025</v>
      </c>
      <c r="C1336" s="45" t="s">
        <v>2144</v>
      </c>
      <c r="D1336" s="45" t="s">
        <v>2859</v>
      </c>
      <c r="E1336" s="45" t="s">
        <v>2860</v>
      </c>
      <c r="F1336" s="50">
        <v>19.2</v>
      </c>
    </row>
    <row r="1337" spans="1:6" ht="20.100000000000001" customHeight="1">
      <c r="A1337" s="44">
        <v>1334</v>
      </c>
      <c r="B1337" s="45">
        <v>2024</v>
      </c>
      <c r="C1337" s="47" t="s">
        <v>335</v>
      </c>
      <c r="D1337" s="45" t="s">
        <v>2873</v>
      </c>
      <c r="E1337" s="45" t="s">
        <v>2890</v>
      </c>
      <c r="F1337" s="50">
        <v>21.06</v>
      </c>
    </row>
    <row r="1338" spans="1:6" ht="20.100000000000001" customHeight="1">
      <c r="A1338" s="44">
        <v>1335</v>
      </c>
      <c r="B1338" s="45">
        <v>2024</v>
      </c>
      <c r="C1338" s="45" t="s">
        <v>2874</v>
      </c>
      <c r="D1338" s="45" t="s">
        <v>2875</v>
      </c>
      <c r="E1338" s="45" t="s">
        <v>2891</v>
      </c>
      <c r="F1338" s="50">
        <v>20.239999999999998</v>
      </c>
    </row>
    <row r="1339" spans="1:6" ht="20.100000000000001" customHeight="1">
      <c r="A1339" s="44">
        <v>1336</v>
      </c>
      <c r="B1339" s="45">
        <v>2025</v>
      </c>
      <c r="C1339" s="45" t="s">
        <v>2591</v>
      </c>
      <c r="D1339" s="45" t="s">
        <v>2876</v>
      </c>
      <c r="E1339" s="45" t="s">
        <v>2877</v>
      </c>
      <c r="F1339" s="55">
        <v>37</v>
      </c>
    </row>
    <row r="1340" spans="1:6" ht="20.100000000000001" customHeight="1">
      <c r="A1340" s="44">
        <v>1337</v>
      </c>
      <c r="B1340" s="45">
        <v>2024</v>
      </c>
      <c r="C1340" s="45" t="s">
        <v>1140</v>
      </c>
      <c r="D1340" s="45" t="s">
        <v>2945</v>
      </c>
      <c r="E1340" s="45" t="s">
        <v>2946</v>
      </c>
      <c r="F1340" s="50">
        <v>58</v>
      </c>
    </row>
    <row r="1341" spans="1:6" ht="20.100000000000001" customHeight="1">
      <c r="A1341" s="44">
        <v>1338</v>
      </c>
      <c r="B1341" s="45">
        <v>2024</v>
      </c>
      <c r="C1341" s="45" t="s">
        <v>1140</v>
      </c>
      <c r="D1341" s="45" t="s">
        <v>2947</v>
      </c>
      <c r="E1341" s="45" t="s">
        <v>2948</v>
      </c>
      <c r="F1341" s="50">
        <v>36</v>
      </c>
    </row>
    <row r="1342" spans="1:6" ht="20.100000000000001" customHeight="1">
      <c r="A1342" s="44">
        <v>1339</v>
      </c>
      <c r="B1342" s="45">
        <v>2024</v>
      </c>
      <c r="C1342" s="45" t="s">
        <v>1140</v>
      </c>
      <c r="D1342" s="45" t="s">
        <v>2949</v>
      </c>
      <c r="E1342" s="45" t="s">
        <v>2950</v>
      </c>
      <c r="F1342" s="50">
        <v>62</v>
      </c>
    </row>
    <row r="1343" spans="1:6" ht="20.100000000000001" customHeight="1">
      <c r="A1343" s="44">
        <v>1340</v>
      </c>
      <c r="B1343" s="45">
        <v>2025</v>
      </c>
      <c r="C1343" s="45" t="s">
        <v>1140</v>
      </c>
      <c r="D1343" s="45" t="s">
        <v>2951</v>
      </c>
      <c r="E1343" s="45" t="s">
        <v>2952</v>
      </c>
      <c r="F1343" s="50">
        <v>46</v>
      </c>
    </row>
    <row r="1344" spans="1:6" ht="20.100000000000001" customHeight="1">
      <c r="A1344" s="44">
        <v>1341</v>
      </c>
      <c r="B1344" s="45">
        <v>2025</v>
      </c>
      <c r="C1344" s="45" t="s">
        <v>1140</v>
      </c>
      <c r="D1344" s="45" t="s">
        <v>2953</v>
      </c>
      <c r="E1344" s="45" t="s">
        <v>2954</v>
      </c>
      <c r="F1344" s="50">
        <v>142</v>
      </c>
    </row>
    <row r="1345" spans="1:6" ht="20.100000000000001" customHeight="1">
      <c r="A1345" s="44">
        <v>1342</v>
      </c>
      <c r="B1345" s="45">
        <v>2025</v>
      </c>
      <c r="C1345" s="45" t="s">
        <v>1140</v>
      </c>
      <c r="D1345" s="45" t="s">
        <v>2955</v>
      </c>
      <c r="E1345" s="45" t="s">
        <v>2956</v>
      </c>
      <c r="F1345" s="50">
        <v>81.75</v>
      </c>
    </row>
    <row r="1346" spans="1:6" ht="20.100000000000001" customHeight="1">
      <c r="A1346" s="44">
        <v>1343</v>
      </c>
      <c r="B1346" s="45">
        <v>2024</v>
      </c>
      <c r="C1346" s="45" t="s">
        <v>13</v>
      </c>
      <c r="D1346" s="38" t="s">
        <v>2958</v>
      </c>
      <c r="E1346" s="38" t="s">
        <v>2959</v>
      </c>
      <c r="F1346" s="77">
        <v>60</v>
      </c>
    </row>
    <row r="1347" spans="1:6" ht="20.100000000000001" customHeight="1">
      <c r="A1347" s="44">
        <v>1344</v>
      </c>
      <c r="B1347" s="45">
        <v>2021</v>
      </c>
      <c r="C1347" s="45" t="s">
        <v>13</v>
      </c>
      <c r="D1347" s="38" t="s">
        <v>2960</v>
      </c>
      <c r="E1347" s="38" t="s">
        <v>2961</v>
      </c>
      <c r="F1347" s="77">
        <v>6</v>
      </c>
    </row>
    <row r="1348" spans="1:6" ht="20.100000000000001" customHeight="1">
      <c r="A1348" s="44">
        <v>1345</v>
      </c>
      <c r="B1348" s="45">
        <v>2024</v>
      </c>
      <c r="C1348" s="45" t="s">
        <v>13</v>
      </c>
      <c r="D1348" s="38" t="s">
        <v>2962</v>
      </c>
      <c r="E1348" s="38" t="s">
        <v>2963</v>
      </c>
      <c r="F1348" s="77">
        <v>6</v>
      </c>
    </row>
    <row r="1349" spans="1:6" ht="20.100000000000001" customHeight="1">
      <c r="A1349" s="44">
        <v>1346</v>
      </c>
      <c r="B1349" s="45">
        <v>2021</v>
      </c>
      <c r="C1349" s="45" t="s">
        <v>13</v>
      </c>
      <c r="D1349" s="38" t="s">
        <v>2964</v>
      </c>
      <c r="E1349" s="38" t="s">
        <v>2965</v>
      </c>
      <c r="F1349" s="77">
        <v>10</v>
      </c>
    </row>
    <row r="1350" spans="1:6" ht="20.100000000000001" customHeight="1">
      <c r="A1350" s="44">
        <v>1347</v>
      </c>
      <c r="B1350" s="45">
        <v>2011</v>
      </c>
      <c r="C1350" s="45" t="s">
        <v>13</v>
      </c>
      <c r="D1350" s="38" t="s">
        <v>2966</v>
      </c>
      <c r="E1350" s="38" t="s">
        <v>2967</v>
      </c>
      <c r="F1350" s="77">
        <v>10</v>
      </c>
    </row>
    <row r="1351" spans="1:6" ht="20.100000000000001" customHeight="1">
      <c r="A1351" s="44">
        <v>1348</v>
      </c>
      <c r="B1351" s="45">
        <v>2025</v>
      </c>
      <c r="C1351" s="45" t="s">
        <v>13</v>
      </c>
      <c r="D1351" s="38" t="s">
        <v>2968</v>
      </c>
      <c r="E1351" s="38" t="s">
        <v>2969</v>
      </c>
      <c r="F1351" s="77">
        <v>100</v>
      </c>
    </row>
    <row r="1352" spans="1:6" ht="20.100000000000001" customHeight="1">
      <c r="A1352" s="44">
        <v>1349</v>
      </c>
      <c r="B1352" s="45">
        <v>2024</v>
      </c>
      <c r="C1352" s="45" t="s">
        <v>2016</v>
      </c>
      <c r="D1352" s="45" t="s">
        <v>2971</v>
      </c>
      <c r="E1352" s="45" t="s">
        <v>2972</v>
      </c>
      <c r="F1352" s="50">
        <v>62.92</v>
      </c>
    </row>
    <row r="1353" spans="1:6" ht="20.100000000000001" customHeight="1">
      <c r="A1353" s="44">
        <v>1350</v>
      </c>
      <c r="B1353" s="45">
        <v>2020</v>
      </c>
      <c r="C1353" s="45" t="s">
        <v>1233</v>
      </c>
      <c r="D1353" s="45" t="s">
        <v>2979</v>
      </c>
      <c r="E1353" s="45" t="s">
        <v>2980</v>
      </c>
      <c r="F1353" s="50">
        <v>134</v>
      </c>
    </row>
    <row r="1354" spans="1:6" ht="20.100000000000001" customHeight="1">
      <c r="A1354" s="44">
        <v>1351</v>
      </c>
      <c r="B1354" s="45">
        <v>2022</v>
      </c>
      <c r="C1354" s="45" t="s">
        <v>1233</v>
      </c>
      <c r="D1354" s="45" t="s">
        <v>2981</v>
      </c>
      <c r="E1354" s="45" t="s">
        <v>2982</v>
      </c>
      <c r="F1354" s="50">
        <v>192</v>
      </c>
    </row>
    <row r="1355" spans="1:6" ht="20.100000000000001" customHeight="1">
      <c r="A1355" s="44">
        <v>1352</v>
      </c>
      <c r="B1355" s="45">
        <v>2015</v>
      </c>
      <c r="C1355" s="45" t="s">
        <v>1233</v>
      </c>
      <c r="D1355" s="45" t="s">
        <v>2983</v>
      </c>
      <c r="E1355" s="45" t="s">
        <v>2984</v>
      </c>
      <c r="F1355" s="50">
        <v>25</v>
      </c>
    </row>
    <row r="1356" spans="1:6" ht="20.100000000000001" customHeight="1">
      <c r="A1356" s="44">
        <v>1353</v>
      </c>
      <c r="B1356" s="45">
        <v>2025</v>
      </c>
      <c r="C1356" s="45" t="s">
        <v>1233</v>
      </c>
      <c r="D1356" s="45" t="s">
        <v>2985</v>
      </c>
      <c r="E1356" s="45" t="s">
        <v>2986</v>
      </c>
      <c r="F1356" s="50">
        <v>996</v>
      </c>
    </row>
    <row r="1357" spans="1:6" ht="20.100000000000001" customHeight="1">
      <c r="A1357" s="44">
        <v>1354</v>
      </c>
      <c r="B1357" s="45">
        <v>2024</v>
      </c>
      <c r="C1357" s="45" t="s">
        <v>2050</v>
      </c>
      <c r="D1357" s="45" t="s">
        <v>2988</v>
      </c>
      <c r="E1357" s="45" t="s">
        <v>2989</v>
      </c>
      <c r="F1357" s="88">
        <v>138.5</v>
      </c>
    </row>
    <row r="1358" spans="1:6" ht="20.100000000000001" customHeight="1">
      <c r="A1358" s="44">
        <v>1355</v>
      </c>
      <c r="B1358" s="45">
        <v>2025</v>
      </c>
      <c r="C1358" s="45" t="s">
        <v>2050</v>
      </c>
      <c r="D1358" s="45" t="s">
        <v>2990</v>
      </c>
      <c r="E1358" s="45" t="s">
        <v>2991</v>
      </c>
      <c r="F1358" s="50">
        <v>59.1</v>
      </c>
    </row>
    <row r="1359" spans="1:6" ht="20.100000000000001" customHeight="1">
      <c r="A1359" s="44">
        <v>1356</v>
      </c>
      <c r="B1359" s="45">
        <v>2019</v>
      </c>
      <c r="C1359" s="45" t="s">
        <v>1496</v>
      </c>
      <c r="D1359" s="45" t="s">
        <v>2996</v>
      </c>
      <c r="E1359" s="45" t="s">
        <v>2997</v>
      </c>
      <c r="F1359" s="50">
        <v>7</v>
      </c>
    </row>
  </sheetData>
  <mergeCells count="1">
    <mergeCell ref="A1:F1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60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J31"/>
  <sheetViews>
    <sheetView zoomScale="70" zoomScaleNormal="70" workbookViewId="0">
      <selection activeCell="A3" sqref="A3"/>
    </sheetView>
  </sheetViews>
  <sheetFormatPr defaultRowHeight="16.5"/>
  <cols>
    <col min="1" max="1" width="9.375" customWidth="1"/>
    <col min="2" max="2" width="17.125" customWidth="1"/>
    <col min="3" max="4" width="10.625" customWidth="1"/>
    <col min="5" max="5" width="8.75" customWidth="1"/>
    <col min="6" max="6" width="20.625" customWidth="1"/>
    <col min="7" max="7" width="29.625" bestFit="1" customWidth="1"/>
    <col min="8" max="8" width="32.75" bestFit="1" customWidth="1"/>
  </cols>
  <sheetData>
    <row r="1" spans="1:10" ht="33">
      <c r="A1" s="36" t="s">
        <v>2063</v>
      </c>
      <c r="B1" s="5" t="s">
        <v>891</v>
      </c>
      <c r="C1" s="7" t="s">
        <v>2100</v>
      </c>
      <c r="D1" s="8" t="s">
        <v>2072</v>
      </c>
      <c r="E1" s="8" t="s">
        <v>0</v>
      </c>
      <c r="F1" s="9" t="s">
        <v>1</v>
      </c>
      <c r="G1" s="8" t="s">
        <v>2073</v>
      </c>
      <c r="H1" s="8" t="s">
        <v>2</v>
      </c>
      <c r="I1" s="7" t="s">
        <v>2074</v>
      </c>
      <c r="J1" s="10" t="s">
        <v>906</v>
      </c>
    </row>
    <row r="2" spans="1:10" ht="17.25">
      <c r="A2" s="4" t="s">
        <v>1150</v>
      </c>
      <c r="B2" s="4" t="s">
        <v>1151</v>
      </c>
      <c r="C2" s="35">
        <v>1069</v>
      </c>
      <c r="D2" s="11">
        <v>2020</v>
      </c>
      <c r="E2" s="20">
        <v>11</v>
      </c>
      <c r="F2" s="30" t="s">
        <v>1140</v>
      </c>
      <c r="G2" s="21" t="s">
        <v>1152</v>
      </c>
      <c r="H2" s="21" t="s">
        <v>2015</v>
      </c>
      <c r="I2" s="22">
        <v>41.6</v>
      </c>
      <c r="J2" s="15">
        <v>195.16</v>
      </c>
    </row>
    <row r="3" spans="1:10" ht="17.25">
      <c r="A3" s="3" t="s">
        <v>1150</v>
      </c>
      <c r="B3" s="3" t="s">
        <v>1153</v>
      </c>
      <c r="C3" s="35">
        <v>1084</v>
      </c>
      <c r="D3" s="11">
        <v>2020</v>
      </c>
      <c r="E3" s="11">
        <v>10</v>
      </c>
      <c r="F3" s="30" t="s">
        <v>1140</v>
      </c>
      <c r="G3" s="13" t="s">
        <v>1154</v>
      </c>
      <c r="H3" s="13" t="s">
        <v>1155</v>
      </c>
      <c r="I3" s="14">
        <v>46</v>
      </c>
      <c r="J3" s="15">
        <v>98</v>
      </c>
    </row>
    <row r="4" spans="1:10" ht="17.25">
      <c r="A4" s="2"/>
      <c r="B4" s="2"/>
      <c r="C4" s="35">
        <v>1090</v>
      </c>
      <c r="D4" s="11">
        <v>2020</v>
      </c>
      <c r="E4" s="13"/>
      <c r="F4" s="31" t="s">
        <v>2017</v>
      </c>
      <c r="G4" s="13" t="s">
        <v>2053</v>
      </c>
      <c r="H4" s="13" t="s">
        <v>2054</v>
      </c>
      <c r="I4" s="23">
        <v>42</v>
      </c>
      <c r="J4" s="23">
        <v>79.400000000000006</v>
      </c>
    </row>
    <row r="5" spans="1:10" ht="17.25">
      <c r="A5" s="2"/>
      <c r="B5" s="2"/>
      <c r="C5" s="35">
        <v>1070</v>
      </c>
      <c r="D5" s="11">
        <v>2020</v>
      </c>
      <c r="E5" s="13"/>
      <c r="F5" s="13" t="s">
        <v>2058</v>
      </c>
      <c r="G5" s="13" t="s">
        <v>2059</v>
      </c>
      <c r="H5" s="13" t="s">
        <v>2060</v>
      </c>
      <c r="I5" s="23">
        <v>580</v>
      </c>
      <c r="J5" s="23">
        <v>2120</v>
      </c>
    </row>
    <row r="6" spans="1:10" ht="17.25">
      <c r="A6" s="2"/>
      <c r="B6" s="2"/>
      <c r="C6" s="35">
        <v>1092</v>
      </c>
      <c r="D6" s="11">
        <v>2020</v>
      </c>
      <c r="E6" s="13"/>
      <c r="F6" s="31" t="s">
        <v>2037</v>
      </c>
      <c r="G6" s="13" t="s">
        <v>2038</v>
      </c>
      <c r="H6" s="13" t="s">
        <v>2039</v>
      </c>
      <c r="I6" s="23">
        <v>62.7</v>
      </c>
      <c r="J6" s="23">
        <v>115.2</v>
      </c>
    </row>
    <row r="7" spans="1:10" ht="17.25">
      <c r="A7" s="3">
        <v>1078</v>
      </c>
      <c r="B7" s="3" t="s">
        <v>1679</v>
      </c>
      <c r="C7" s="35">
        <v>1068</v>
      </c>
      <c r="D7" s="11">
        <v>2020</v>
      </c>
      <c r="E7" s="11">
        <v>4</v>
      </c>
      <c r="F7" s="30" t="s">
        <v>1680</v>
      </c>
      <c r="G7" s="13" t="s">
        <v>890</v>
      </c>
      <c r="H7" s="13" t="s">
        <v>1681</v>
      </c>
      <c r="I7" s="14">
        <v>5.18</v>
      </c>
      <c r="J7" s="15">
        <v>27.5</v>
      </c>
    </row>
    <row r="8" spans="1:10" ht="17.25">
      <c r="A8" s="2"/>
      <c r="B8" s="2"/>
      <c r="C8" s="35">
        <v>1088</v>
      </c>
      <c r="D8" s="11">
        <v>2020</v>
      </c>
      <c r="E8" s="13"/>
      <c r="F8" s="31" t="s">
        <v>1680</v>
      </c>
      <c r="G8" s="13" t="s">
        <v>2040</v>
      </c>
      <c r="H8" s="13" t="s">
        <v>2041</v>
      </c>
      <c r="I8" s="23">
        <v>15</v>
      </c>
      <c r="J8" s="23">
        <v>28.5</v>
      </c>
    </row>
    <row r="9" spans="1:10" ht="17.25">
      <c r="A9" s="2"/>
      <c r="B9" s="2"/>
      <c r="C9" s="35">
        <v>1086</v>
      </c>
      <c r="D9" s="11">
        <v>2020</v>
      </c>
      <c r="E9" s="13"/>
      <c r="F9" s="31" t="s">
        <v>2042</v>
      </c>
      <c r="G9" s="13" t="s">
        <v>2045</v>
      </c>
      <c r="H9" s="13" t="s">
        <v>2046</v>
      </c>
      <c r="I9" s="23">
        <v>10</v>
      </c>
      <c r="J9" s="23">
        <v>19.3</v>
      </c>
    </row>
    <row r="10" spans="1:10" ht="17.25">
      <c r="A10" s="2"/>
      <c r="B10" s="2"/>
      <c r="C10" s="35">
        <v>1089</v>
      </c>
      <c r="D10" s="11">
        <v>2020</v>
      </c>
      <c r="E10" s="13"/>
      <c r="F10" s="31" t="s">
        <v>2042</v>
      </c>
      <c r="G10" s="13" t="s">
        <v>2043</v>
      </c>
      <c r="H10" s="13" t="s">
        <v>2044</v>
      </c>
      <c r="I10" s="23">
        <v>15</v>
      </c>
      <c r="J10" s="23">
        <v>28.5</v>
      </c>
    </row>
    <row r="11" spans="1:10" ht="17.25">
      <c r="A11" s="3">
        <v>1072</v>
      </c>
      <c r="B11" s="3" t="s">
        <v>1218</v>
      </c>
      <c r="C11" s="35">
        <v>1071</v>
      </c>
      <c r="D11" s="11">
        <v>2020</v>
      </c>
      <c r="E11" s="11">
        <v>3</v>
      </c>
      <c r="F11" s="12" t="s">
        <v>673</v>
      </c>
      <c r="G11" s="13" t="s">
        <v>1219</v>
      </c>
      <c r="H11" s="13" t="s">
        <v>1217</v>
      </c>
      <c r="I11" s="14">
        <v>100.8</v>
      </c>
      <c r="J11" s="15">
        <v>311</v>
      </c>
    </row>
    <row r="12" spans="1:10" ht="17.25">
      <c r="A12" s="3">
        <v>1075</v>
      </c>
      <c r="B12" s="3" t="s">
        <v>1676</v>
      </c>
      <c r="C12" s="35">
        <v>1073</v>
      </c>
      <c r="D12" s="11">
        <v>2020</v>
      </c>
      <c r="E12" s="11">
        <v>6</v>
      </c>
      <c r="F12" s="30" t="s">
        <v>1674</v>
      </c>
      <c r="G12" s="13" t="s">
        <v>888</v>
      </c>
      <c r="H12" s="13" t="s">
        <v>1677</v>
      </c>
      <c r="I12" s="14">
        <v>3</v>
      </c>
      <c r="J12" s="15">
        <v>8</v>
      </c>
    </row>
    <row r="13" spans="1:10" ht="17.25">
      <c r="A13" s="3">
        <v>1074</v>
      </c>
      <c r="B13" s="3" t="s">
        <v>1673</v>
      </c>
      <c r="C13" s="35">
        <v>1074</v>
      </c>
      <c r="D13" s="11">
        <v>2020</v>
      </c>
      <c r="E13" s="11">
        <v>6</v>
      </c>
      <c r="F13" s="30" t="s">
        <v>1674</v>
      </c>
      <c r="G13" s="13" t="s">
        <v>887</v>
      </c>
      <c r="H13" s="13" t="s">
        <v>1675</v>
      </c>
      <c r="I13" s="14">
        <v>5</v>
      </c>
      <c r="J13" s="15">
        <v>13</v>
      </c>
    </row>
    <row r="14" spans="1:10" ht="17.25">
      <c r="A14" s="3">
        <v>1076</v>
      </c>
      <c r="B14" s="3" t="s">
        <v>1678</v>
      </c>
      <c r="C14" s="35">
        <v>1075</v>
      </c>
      <c r="D14" s="11">
        <v>2020</v>
      </c>
      <c r="E14" s="11">
        <v>6</v>
      </c>
      <c r="F14" s="30" t="s">
        <v>1674</v>
      </c>
      <c r="G14" s="13" t="s">
        <v>889</v>
      </c>
      <c r="H14" s="13" t="s">
        <v>2018</v>
      </c>
      <c r="I14" s="14">
        <v>5</v>
      </c>
      <c r="J14" s="15">
        <v>13</v>
      </c>
    </row>
    <row r="15" spans="1:10" ht="17.25">
      <c r="A15" s="2"/>
      <c r="B15" s="2"/>
      <c r="C15" s="35">
        <v>1093</v>
      </c>
      <c r="D15" s="11">
        <v>2020</v>
      </c>
      <c r="E15" s="13"/>
      <c r="F15" s="31" t="s">
        <v>2055</v>
      </c>
      <c r="G15" s="13" t="s">
        <v>2056</v>
      </c>
      <c r="H15" s="13" t="s">
        <v>2057</v>
      </c>
      <c r="I15" s="23">
        <v>20</v>
      </c>
      <c r="J15" s="23">
        <v>35.4</v>
      </c>
    </row>
    <row r="16" spans="1:10" ht="17.25">
      <c r="A16" s="2"/>
      <c r="B16" s="2"/>
      <c r="C16" s="35">
        <v>1079</v>
      </c>
      <c r="D16" s="11">
        <v>2020</v>
      </c>
      <c r="E16" s="13"/>
      <c r="F16" s="13" t="s">
        <v>2022</v>
      </c>
      <c r="G16" s="13" t="s">
        <v>2023</v>
      </c>
      <c r="H16" s="13" t="s">
        <v>2024</v>
      </c>
      <c r="I16" s="23">
        <v>120</v>
      </c>
      <c r="J16" s="23">
        <v>288.2</v>
      </c>
    </row>
    <row r="17" spans="1:10" ht="17.25">
      <c r="A17" s="2"/>
      <c r="B17" s="2"/>
      <c r="C17" s="35">
        <v>1077</v>
      </c>
      <c r="D17" s="11">
        <v>2020</v>
      </c>
      <c r="E17" s="13"/>
      <c r="F17" s="13" t="s">
        <v>2016</v>
      </c>
      <c r="G17" s="13" t="s">
        <v>2025</v>
      </c>
      <c r="H17" s="13" t="s">
        <v>2026</v>
      </c>
      <c r="I17" s="23">
        <v>40</v>
      </c>
      <c r="J17" s="23">
        <v>96.9</v>
      </c>
    </row>
    <row r="18" spans="1:10" ht="17.25">
      <c r="A18" s="3" t="s">
        <v>1150</v>
      </c>
      <c r="B18" s="3" t="s">
        <v>1475</v>
      </c>
      <c r="C18" s="35">
        <v>1064</v>
      </c>
      <c r="D18" s="11">
        <v>2020</v>
      </c>
      <c r="E18" s="11">
        <v>7</v>
      </c>
      <c r="F18" s="12" t="s">
        <v>1469</v>
      </c>
      <c r="G18" s="13" t="s">
        <v>1476</v>
      </c>
      <c r="H18" s="13" t="s">
        <v>1459</v>
      </c>
      <c r="I18" s="14">
        <v>634.23</v>
      </c>
      <c r="J18" s="15">
        <v>907.09500000000003</v>
      </c>
    </row>
    <row r="19" spans="1:10" ht="17.25">
      <c r="A19" s="3" t="s">
        <v>1150</v>
      </c>
      <c r="B19" s="3" t="s">
        <v>1477</v>
      </c>
      <c r="C19" s="35">
        <v>1065</v>
      </c>
      <c r="D19" s="11">
        <v>2020</v>
      </c>
      <c r="E19" s="11">
        <v>7</v>
      </c>
      <c r="F19" s="12" t="s">
        <v>1469</v>
      </c>
      <c r="G19" s="13" t="s">
        <v>1454</v>
      </c>
      <c r="H19" s="13" t="s">
        <v>1478</v>
      </c>
      <c r="I19" s="14">
        <v>612.36</v>
      </c>
      <c r="J19" s="15">
        <v>819.69799999999998</v>
      </c>
    </row>
    <row r="20" spans="1:10" ht="17.25">
      <c r="A20" s="3" t="s">
        <v>1150</v>
      </c>
      <c r="B20" s="3" t="s">
        <v>1468</v>
      </c>
      <c r="C20" s="35">
        <v>1066</v>
      </c>
      <c r="D20" s="11">
        <v>2020</v>
      </c>
      <c r="E20" s="11">
        <v>4</v>
      </c>
      <c r="F20" s="12" t="s">
        <v>1469</v>
      </c>
      <c r="G20" s="13" t="s">
        <v>1470</v>
      </c>
      <c r="H20" s="13" t="s">
        <v>1471</v>
      </c>
      <c r="I20" s="14">
        <v>140.4</v>
      </c>
      <c r="J20" s="15">
        <v>380</v>
      </c>
    </row>
    <row r="21" spans="1:10" ht="17.25">
      <c r="A21" s="3" t="s">
        <v>1150</v>
      </c>
      <c r="B21" s="3" t="s">
        <v>1472</v>
      </c>
      <c r="C21" s="35">
        <v>1067</v>
      </c>
      <c r="D21" s="11">
        <v>2020</v>
      </c>
      <c r="E21" s="11">
        <v>7</v>
      </c>
      <c r="F21" s="12" t="s">
        <v>1469</v>
      </c>
      <c r="G21" s="13" t="s">
        <v>1473</v>
      </c>
      <c r="H21" s="13" t="s">
        <v>1474</v>
      </c>
      <c r="I21" s="14">
        <v>357.21</v>
      </c>
      <c r="J21" s="15">
        <v>566.00300000000004</v>
      </c>
    </row>
    <row r="22" spans="1:10" ht="17.25">
      <c r="A22" s="2"/>
      <c r="B22" s="2"/>
      <c r="C22" s="35">
        <v>1072</v>
      </c>
      <c r="D22" s="11">
        <v>2020</v>
      </c>
      <c r="E22" s="13">
        <v>14</v>
      </c>
      <c r="F22" s="13" t="s">
        <v>1281</v>
      </c>
      <c r="G22" s="13" t="s">
        <v>2030</v>
      </c>
      <c r="H22" s="13" t="s">
        <v>2031</v>
      </c>
      <c r="I22" s="23">
        <v>6</v>
      </c>
      <c r="J22" s="23">
        <v>17.7</v>
      </c>
    </row>
    <row r="23" spans="1:10" ht="17.25">
      <c r="A23" s="2"/>
      <c r="B23" s="2"/>
      <c r="C23" s="35">
        <v>1076</v>
      </c>
      <c r="D23" s="11">
        <v>2020</v>
      </c>
      <c r="E23" s="13">
        <v>32</v>
      </c>
      <c r="F23" s="13" t="s">
        <v>1281</v>
      </c>
      <c r="G23" s="13" t="s">
        <v>2034</v>
      </c>
      <c r="H23" s="13" t="s">
        <v>2020</v>
      </c>
      <c r="I23" s="23">
        <v>12</v>
      </c>
      <c r="J23" s="23">
        <v>29.6</v>
      </c>
    </row>
    <row r="24" spans="1:10" ht="17.25">
      <c r="A24" s="2"/>
      <c r="B24" s="2"/>
      <c r="C24" s="35">
        <v>1080</v>
      </c>
      <c r="D24" s="11">
        <v>2020</v>
      </c>
      <c r="E24" s="13"/>
      <c r="F24" s="13" t="s">
        <v>1281</v>
      </c>
      <c r="G24" s="13" t="s">
        <v>2027</v>
      </c>
      <c r="H24" s="13" t="s">
        <v>2019</v>
      </c>
      <c r="I24" s="23">
        <v>9</v>
      </c>
      <c r="J24" s="23">
        <v>21.2</v>
      </c>
    </row>
    <row r="25" spans="1:10" ht="17.25">
      <c r="A25" s="2"/>
      <c r="B25" s="2"/>
      <c r="C25" s="35">
        <v>1081</v>
      </c>
      <c r="D25" s="11">
        <v>2020</v>
      </c>
      <c r="E25" s="13"/>
      <c r="F25" s="13" t="s">
        <v>1281</v>
      </c>
      <c r="G25" s="13" t="s">
        <v>2032</v>
      </c>
      <c r="H25" s="13" t="s">
        <v>2033</v>
      </c>
      <c r="I25" s="23">
        <v>9</v>
      </c>
      <c r="J25" s="23">
        <v>21.2</v>
      </c>
    </row>
    <row r="26" spans="1:10" ht="17.25">
      <c r="A26" s="2"/>
      <c r="B26" s="2"/>
      <c r="C26" s="35">
        <v>1082</v>
      </c>
      <c r="D26" s="11">
        <v>2020</v>
      </c>
      <c r="E26" s="13">
        <v>26</v>
      </c>
      <c r="F26" s="13" t="s">
        <v>1281</v>
      </c>
      <c r="G26" s="13" t="s">
        <v>2075</v>
      </c>
      <c r="H26" s="13" t="s">
        <v>2021</v>
      </c>
      <c r="I26" s="23">
        <v>28.8</v>
      </c>
      <c r="J26" s="23">
        <v>65</v>
      </c>
    </row>
    <row r="27" spans="1:10" ht="17.25">
      <c r="A27" s="2"/>
      <c r="B27" s="2"/>
      <c r="C27" s="35">
        <v>1083</v>
      </c>
      <c r="D27" s="11">
        <v>2020</v>
      </c>
      <c r="E27" s="13">
        <v>26</v>
      </c>
      <c r="F27" s="13" t="s">
        <v>1281</v>
      </c>
      <c r="G27" s="13" t="s">
        <v>2035</v>
      </c>
      <c r="H27" s="13" t="s">
        <v>2036</v>
      </c>
      <c r="I27" s="23">
        <v>12</v>
      </c>
      <c r="J27" s="23">
        <v>27</v>
      </c>
    </row>
    <row r="28" spans="1:10" ht="17.25">
      <c r="A28" s="2"/>
      <c r="B28" s="2"/>
      <c r="C28" s="35">
        <v>1085</v>
      </c>
      <c r="D28" s="11">
        <v>2020</v>
      </c>
      <c r="E28" s="13">
        <v>14</v>
      </c>
      <c r="F28" s="13" t="s">
        <v>1281</v>
      </c>
      <c r="G28" s="13" t="s">
        <v>2028</v>
      </c>
      <c r="H28" s="13" t="s">
        <v>2029</v>
      </c>
      <c r="I28" s="23">
        <v>9</v>
      </c>
      <c r="J28" s="23">
        <v>17.7</v>
      </c>
    </row>
    <row r="29" spans="1:10" ht="17.25">
      <c r="A29" s="2"/>
      <c r="B29" s="2"/>
      <c r="C29" s="35">
        <v>1091</v>
      </c>
      <c r="D29" s="11">
        <v>2020</v>
      </c>
      <c r="E29" s="13"/>
      <c r="F29" s="31" t="s">
        <v>2047</v>
      </c>
      <c r="G29" s="13" t="s">
        <v>2048</v>
      </c>
      <c r="H29" s="13" t="s">
        <v>2049</v>
      </c>
      <c r="I29" s="23">
        <v>5</v>
      </c>
      <c r="J29" s="23">
        <v>9.1999999999999993</v>
      </c>
    </row>
    <row r="30" spans="1:10" ht="17.25">
      <c r="A30" s="3">
        <v>1073</v>
      </c>
      <c r="B30" s="3" t="s">
        <v>1797</v>
      </c>
      <c r="C30" s="35">
        <v>1078</v>
      </c>
      <c r="D30" s="11">
        <v>2020</v>
      </c>
      <c r="E30" s="11">
        <v>7</v>
      </c>
      <c r="F30" s="32" t="s">
        <v>64</v>
      </c>
      <c r="G30" s="13" t="s">
        <v>886</v>
      </c>
      <c r="H30" s="13" t="s">
        <v>1798</v>
      </c>
      <c r="I30" s="14">
        <v>43.16</v>
      </c>
      <c r="J30" s="15">
        <v>104</v>
      </c>
    </row>
    <row r="31" spans="1:10" ht="17.25">
      <c r="A31" s="2"/>
      <c r="B31" s="2"/>
      <c r="C31" s="35">
        <v>1087</v>
      </c>
      <c r="D31" s="11">
        <v>2020</v>
      </c>
      <c r="E31" s="13"/>
      <c r="F31" s="31" t="s">
        <v>2050</v>
      </c>
      <c r="G31" s="13" t="s">
        <v>2051</v>
      </c>
      <c r="H31" s="13" t="s">
        <v>2052</v>
      </c>
      <c r="I31" s="23">
        <v>18.2</v>
      </c>
      <c r="J31" s="23">
        <v>34.700000000000003</v>
      </c>
    </row>
  </sheetData>
  <autoFilter ref="A1:J1" xr:uid="{00000000-0009-0000-0000-000001000000}">
    <sortState xmlns:xlrd2="http://schemas.microsoft.com/office/spreadsheetml/2017/richdata2" ref="A2:J31">
      <sortCondition ref="F1"/>
    </sortState>
  </autoFilter>
  <phoneticPr fontId="3" type="noConversion"/>
  <pageMargins left="0.7" right="0.7" top="0.75" bottom="0.75" header="0.3" footer="0.3"/>
  <pageSetup paperSize="12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6:D23"/>
  <sheetViews>
    <sheetView workbookViewId="0">
      <selection activeCell="A3" sqref="A3"/>
    </sheetView>
  </sheetViews>
  <sheetFormatPr defaultRowHeight="16.5"/>
  <cols>
    <col min="2" max="3" width="9" style="25"/>
  </cols>
  <sheetData>
    <row r="6" spans="2:4" ht="19.5">
      <c r="B6" s="26">
        <v>2005</v>
      </c>
      <c r="C6" s="27">
        <v>10000</v>
      </c>
      <c r="D6">
        <f>C6/1000</f>
        <v>10</v>
      </c>
    </row>
    <row r="7" spans="2:4" ht="19.5">
      <c r="B7" s="26">
        <v>2006</v>
      </c>
      <c r="C7" s="27">
        <v>9800</v>
      </c>
      <c r="D7">
        <f t="shared" ref="D7:D23" si="0">C7/1000</f>
        <v>9.8000000000000007</v>
      </c>
    </row>
    <row r="8" spans="2:4" ht="19.5">
      <c r="B8" s="26">
        <v>2007</v>
      </c>
      <c r="C8" s="27">
        <v>9550</v>
      </c>
      <c r="D8">
        <f t="shared" si="0"/>
        <v>9.5500000000000007</v>
      </c>
    </row>
    <row r="9" spans="2:4" ht="19.5">
      <c r="B9" s="26">
        <v>2008</v>
      </c>
      <c r="C9" s="27">
        <v>9300</v>
      </c>
      <c r="D9">
        <f t="shared" si="0"/>
        <v>9.3000000000000007</v>
      </c>
    </row>
    <row r="10" spans="2:4" ht="19.5">
      <c r="B10" s="26">
        <v>2009</v>
      </c>
      <c r="C10" s="27">
        <v>9240</v>
      </c>
      <c r="D10">
        <f t="shared" si="0"/>
        <v>9.24</v>
      </c>
    </row>
    <row r="11" spans="2:4" ht="19.5">
      <c r="B11" s="26">
        <v>2010</v>
      </c>
      <c r="C11" s="27">
        <v>7180</v>
      </c>
      <c r="D11">
        <f t="shared" si="0"/>
        <v>7.18</v>
      </c>
    </row>
    <row r="12" spans="2:4" ht="19.5">
      <c r="B12" s="26">
        <v>2011</v>
      </c>
      <c r="C12" s="27">
        <v>7180</v>
      </c>
      <c r="D12">
        <f t="shared" si="0"/>
        <v>7.18</v>
      </c>
    </row>
    <row r="13" spans="2:4" ht="19.5">
      <c r="B13" s="26">
        <v>2012</v>
      </c>
      <c r="C13" s="27">
        <v>4972</v>
      </c>
      <c r="D13">
        <f t="shared" si="0"/>
        <v>4.9720000000000004</v>
      </c>
    </row>
    <row r="14" spans="2:4" ht="19.5">
      <c r="B14" s="26">
        <v>2013</v>
      </c>
      <c r="C14" s="27">
        <v>4960</v>
      </c>
      <c r="D14">
        <f t="shared" si="0"/>
        <v>4.96</v>
      </c>
    </row>
    <row r="15" spans="2:4" ht="19.5">
      <c r="B15" s="26">
        <v>2014</v>
      </c>
      <c r="C15" s="27">
        <v>4463</v>
      </c>
      <c r="D15">
        <f t="shared" si="0"/>
        <v>4.4630000000000001</v>
      </c>
    </row>
    <row r="16" spans="2:4" ht="19.5">
      <c r="B16" s="26">
        <v>2015</v>
      </c>
      <c r="C16" s="27">
        <v>4200</v>
      </c>
      <c r="D16">
        <f t="shared" si="0"/>
        <v>4.2</v>
      </c>
    </row>
    <row r="17" spans="2:4" ht="19.5">
      <c r="B17" s="26">
        <v>2016</v>
      </c>
      <c r="C17" s="27">
        <v>3408</v>
      </c>
      <c r="D17">
        <f t="shared" si="0"/>
        <v>3.4079999999999999</v>
      </c>
    </row>
    <row r="18" spans="2:4" ht="19.5">
      <c r="B18" s="26">
        <v>2017</v>
      </c>
      <c r="C18" s="27">
        <v>3200</v>
      </c>
      <c r="D18">
        <f t="shared" si="0"/>
        <v>3.2</v>
      </c>
    </row>
    <row r="19" spans="2:4" ht="19.5">
      <c r="B19" s="26">
        <v>2018</v>
      </c>
      <c r="C19" s="27">
        <v>2873</v>
      </c>
      <c r="D19">
        <f t="shared" si="0"/>
        <v>2.8730000000000002</v>
      </c>
    </row>
    <row r="20" spans="2:4" ht="19.5">
      <c r="B20" s="26">
        <v>2019</v>
      </c>
      <c r="C20" s="27">
        <v>2660</v>
      </c>
      <c r="D20">
        <f t="shared" si="0"/>
        <v>2.66</v>
      </c>
    </row>
    <row r="21" spans="2:4" ht="19.5">
      <c r="B21" s="26">
        <v>2020</v>
      </c>
      <c r="C21" s="28">
        <v>2410</v>
      </c>
      <c r="D21">
        <f t="shared" si="0"/>
        <v>2.41</v>
      </c>
    </row>
    <row r="22" spans="2:4" ht="19.5">
      <c r="B22" s="26">
        <v>2021</v>
      </c>
      <c r="C22" s="27">
        <v>1881</v>
      </c>
      <c r="D22">
        <f t="shared" si="0"/>
        <v>1.881</v>
      </c>
    </row>
    <row r="23" spans="2:4" ht="19.5">
      <c r="B23" s="26">
        <v>2022</v>
      </c>
      <c r="C23" s="29"/>
      <c r="D23">
        <f t="shared" si="0"/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 filterMode="1"/>
  <dimension ref="C4:C404"/>
  <sheetViews>
    <sheetView topLeftCell="B1" workbookViewId="0">
      <selection activeCell="A3" sqref="A3"/>
    </sheetView>
  </sheetViews>
  <sheetFormatPr defaultRowHeight="16.5"/>
  <cols>
    <col min="3" max="3" width="35.875" customWidth="1"/>
  </cols>
  <sheetData>
    <row r="4" spans="3:3">
      <c r="C4" t="s">
        <v>2078</v>
      </c>
    </row>
    <row r="5" spans="3:3">
      <c r="C5" s="30" t="s">
        <v>9</v>
      </c>
    </row>
    <row r="6" spans="3:3" hidden="1">
      <c r="C6" s="12" t="s">
        <v>399</v>
      </c>
    </row>
    <row r="7" spans="3:3">
      <c r="C7" s="30" t="s">
        <v>66</v>
      </c>
    </row>
    <row r="8" spans="3:3" hidden="1">
      <c r="C8" s="12" t="s">
        <v>644</v>
      </c>
    </row>
    <row r="9" spans="3:3">
      <c r="C9" s="30" t="s">
        <v>62</v>
      </c>
    </row>
    <row r="10" spans="3:3">
      <c r="C10" s="30" t="s">
        <v>51</v>
      </c>
    </row>
    <row r="11" spans="3:3">
      <c r="C11" s="30" t="s">
        <v>12</v>
      </c>
    </row>
    <row r="12" spans="3:3">
      <c r="C12" s="30" t="s">
        <v>62</v>
      </c>
    </row>
    <row r="13" spans="3:3">
      <c r="C13" s="30" t="s">
        <v>12</v>
      </c>
    </row>
    <row r="14" spans="3:3" hidden="1">
      <c r="C14" s="12" t="s">
        <v>497</v>
      </c>
    </row>
    <row r="15" spans="3:3" hidden="1">
      <c r="C15" s="12" t="s">
        <v>497</v>
      </c>
    </row>
    <row r="16" spans="3:3">
      <c r="C16" s="30" t="s">
        <v>202</v>
      </c>
    </row>
    <row r="17" spans="3:3">
      <c r="C17" s="30" t="s">
        <v>58</v>
      </c>
    </row>
    <row r="18" spans="3:3">
      <c r="C18" s="30" t="s">
        <v>126</v>
      </c>
    </row>
    <row r="19" spans="3:3" hidden="1">
      <c r="C19" s="12" t="s">
        <v>788</v>
      </c>
    </row>
    <row r="20" spans="3:3">
      <c r="C20" s="30" t="s">
        <v>12</v>
      </c>
    </row>
    <row r="21" spans="3:3" hidden="1">
      <c r="C21" s="12" t="s">
        <v>337</v>
      </c>
    </row>
    <row r="22" spans="3:3">
      <c r="C22" s="30" t="s">
        <v>12</v>
      </c>
    </row>
    <row r="23" spans="3:3" hidden="1">
      <c r="C23" s="12" t="s">
        <v>337</v>
      </c>
    </row>
    <row r="24" spans="3:3" hidden="1">
      <c r="C24" s="12" t="s">
        <v>337</v>
      </c>
    </row>
    <row r="25" spans="3:3" hidden="1">
      <c r="C25" s="12" t="s">
        <v>337</v>
      </c>
    </row>
    <row r="26" spans="3:3" hidden="1">
      <c r="C26" s="12" t="s">
        <v>337</v>
      </c>
    </row>
    <row r="27" spans="3:3">
      <c r="C27" s="30" t="s">
        <v>1233</v>
      </c>
    </row>
    <row r="28" spans="3:3" hidden="1">
      <c r="C28" s="12" t="s">
        <v>337</v>
      </c>
    </row>
    <row r="29" spans="3:3" hidden="1">
      <c r="C29" s="12" t="s">
        <v>337</v>
      </c>
    </row>
    <row r="30" spans="3:3" hidden="1">
      <c r="C30" s="12" t="s">
        <v>337</v>
      </c>
    </row>
    <row r="31" spans="3:3" hidden="1">
      <c r="C31" s="12" t="s">
        <v>337</v>
      </c>
    </row>
    <row r="32" spans="3:3">
      <c r="C32" s="30" t="s">
        <v>22</v>
      </c>
    </row>
    <row r="33" spans="3:3">
      <c r="C33" s="30" t="s">
        <v>513</v>
      </c>
    </row>
    <row r="34" spans="3:3" hidden="1">
      <c r="C34" s="12" t="s">
        <v>38</v>
      </c>
    </row>
    <row r="35" spans="3:3">
      <c r="C35" s="30" t="s">
        <v>58</v>
      </c>
    </row>
    <row r="36" spans="3:3">
      <c r="C36" s="30" t="s">
        <v>12</v>
      </c>
    </row>
    <row r="37" spans="3:3">
      <c r="C37" s="30" t="s">
        <v>407</v>
      </c>
    </row>
    <row r="38" spans="3:3" hidden="1">
      <c r="C38" s="12" t="s">
        <v>38</v>
      </c>
    </row>
    <row r="39" spans="3:3" hidden="1">
      <c r="C39" s="12" t="s">
        <v>38</v>
      </c>
    </row>
    <row r="40" spans="3:3" hidden="1">
      <c r="C40" s="12" t="s">
        <v>38</v>
      </c>
    </row>
    <row r="41" spans="3:3">
      <c r="C41" s="30" t="s">
        <v>409</v>
      </c>
    </row>
    <row r="42" spans="3:3">
      <c r="C42" s="30" t="s">
        <v>586</v>
      </c>
    </row>
    <row r="43" spans="3:3" hidden="1">
      <c r="C43" s="12" t="s">
        <v>38</v>
      </c>
    </row>
    <row r="44" spans="3:3">
      <c r="C44" s="30" t="s">
        <v>12</v>
      </c>
    </row>
    <row r="45" spans="3:3" hidden="1">
      <c r="C45" s="12" t="s">
        <v>652</v>
      </c>
    </row>
    <row r="46" spans="3:3">
      <c r="C46" s="30" t="s">
        <v>51</v>
      </c>
    </row>
    <row r="47" spans="3:3" hidden="1">
      <c r="C47" s="12" t="s">
        <v>652</v>
      </c>
    </row>
    <row r="48" spans="3:3" hidden="1">
      <c r="C48" s="12" t="s">
        <v>652</v>
      </c>
    </row>
    <row r="49" spans="3:3" hidden="1">
      <c r="C49" s="12" t="s">
        <v>652</v>
      </c>
    </row>
    <row r="50" spans="3:3" hidden="1">
      <c r="C50" s="12" t="s">
        <v>652</v>
      </c>
    </row>
    <row r="51" spans="3:3" hidden="1">
      <c r="C51" s="12" t="s">
        <v>120</v>
      </c>
    </row>
    <row r="52" spans="3:3" hidden="1">
      <c r="C52" s="12" t="s">
        <v>120</v>
      </c>
    </row>
    <row r="53" spans="3:3">
      <c r="C53" s="30" t="s">
        <v>62</v>
      </c>
    </row>
    <row r="54" spans="3:3" hidden="1">
      <c r="C54" s="12" t="s">
        <v>499</v>
      </c>
    </row>
    <row r="55" spans="3:3">
      <c r="C55" s="30" t="s">
        <v>58</v>
      </c>
    </row>
    <row r="56" spans="3:3">
      <c r="C56" s="30" t="s">
        <v>927</v>
      </c>
    </row>
    <row r="57" spans="3:3">
      <c r="C57" s="30" t="s">
        <v>687</v>
      </c>
    </row>
    <row r="58" spans="3:3">
      <c r="C58" s="30" t="s">
        <v>128</v>
      </c>
    </row>
    <row r="59" spans="3:3">
      <c r="C59" s="30" t="s">
        <v>12</v>
      </c>
    </row>
    <row r="60" spans="3:3">
      <c r="C60" s="30" t="s">
        <v>128</v>
      </c>
    </row>
    <row r="61" spans="3:3">
      <c r="C61" s="30" t="s">
        <v>928</v>
      </c>
    </row>
    <row r="62" spans="3:3">
      <c r="C62" s="30" t="s">
        <v>835</v>
      </c>
    </row>
    <row r="63" spans="3:3">
      <c r="C63" s="30" t="s">
        <v>930</v>
      </c>
    </row>
    <row r="64" spans="3:3">
      <c r="C64" s="30" t="s">
        <v>813</v>
      </c>
    </row>
    <row r="65" spans="3:3">
      <c r="C65" s="30" t="s">
        <v>241</v>
      </c>
    </row>
    <row r="66" spans="3:3">
      <c r="C66" s="30" t="s">
        <v>678</v>
      </c>
    </row>
    <row r="67" spans="3:3">
      <c r="C67" s="31" t="s">
        <v>2016</v>
      </c>
    </row>
    <row r="68" spans="3:3">
      <c r="C68" s="30" t="s">
        <v>932</v>
      </c>
    </row>
    <row r="69" spans="3:3">
      <c r="C69" s="30" t="s">
        <v>1233</v>
      </c>
    </row>
    <row r="70" spans="3:3">
      <c r="C70" s="30" t="s">
        <v>1233</v>
      </c>
    </row>
    <row r="71" spans="3:3">
      <c r="C71" s="30" t="s">
        <v>1233</v>
      </c>
    </row>
    <row r="72" spans="3:3">
      <c r="C72" s="30" t="s">
        <v>518</v>
      </c>
    </row>
    <row r="73" spans="3:3">
      <c r="C73" s="30" t="s">
        <v>1233</v>
      </c>
    </row>
    <row r="74" spans="3:3">
      <c r="C74" s="30" t="s">
        <v>1233</v>
      </c>
    </row>
    <row r="75" spans="3:3">
      <c r="C75" s="30" t="s">
        <v>51</v>
      </c>
    </row>
    <row r="76" spans="3:3">
      <c r="C76" s="30" t="s">
        <v>1233</v>
      </c>
    </row>
    <row r="77" spans="3:3">
      <c r="C77" s="30" t="s">
        <v>1233</v>
      </c>
    </row>
    <row r="78" spans="3:3">
      <c r="C78" s="30" t="s">
        <v>62</v>
      </c>
    </row>
    <row r="79" spans="3:3">
      <c r="C79" s="30" t="s">
        <v>1233</v>
      </c>
    </row>
    <row r="80" spans="3:3">
      <c r="C80" s="30" t="s">
        <v>1469</v>
      </c>
    </row>
    <row r="81" spans="3:3">
      <c r="C81" s="30" t="s">
        <v>1075</v>
      </c>
    </row>
    <row r="82" spans="3:3">
      <c r="C82" s="30" t="s">
        <v>1469</v>
      </c>
    </row>
    <row r="83" spans="3:3" hidden="1">
      <c r="C83" s="12" t="s">
        <v>145</v>
      </c>
    </row>
    <row r="84" spans="3:3">
      <c r="C84" s="30" t="s">
        <v>1233</v>
      </c>
    </row>
    <row r="85" spans="3:3">
      <c r="C85" s="30" t="s">
        <v>1233</v>
      </c>
    </row>
    <row r="86" spans="3:3">
      <c r="C86" s="30" t="s">
        <v>1233</v>
      </c>
    </row>
    <row r="87" spans="3:3" hidden="1">
      <c r="C87" s="12" t="s">
        <v>145</v>
      </c>
    </row>
    <row r="88" spans="3:3">
      <c r="C88" s="30" t="s">
        <v>1233</v>
      </c>
    </row>
    <row r="89" spans="3:3">
      <c r="C89" s="30" t="s">
        <v>75</v>
      </c>
    </row>
    <row r="90" spans="3:3">
      <c r="C90" s="30" t="s">
        <v>1075</v>
      </c>
    </row>
    <row r="91" spans="3:3">
      <c r="C91" s="30" t="s">
        <v>12</v>
      </c>
    </row>
    <row r="92" spans="3:3" hidden="1">
      <c r="C92" s="12" t="s">
        <v>145</v>
      </c>
    </row>
    <row r="93" spans="3:3">
      <c r="C93" s="30" t="s">
        <v>1233</v>
      </c>
    </row>
    <row r="94" spans="3:3">
      <c r="C94" s="30" t="s">
        <v>1299</v>
      </c>
    </row>
    <row r="95" spans="3:3">
      <c r="C95" s="30" t="s">
        <v>1233</v>
      </c>
    </row>
    <row r="96" spans="3:3">
      <c r="C96" s="30" t="s">
        <v>686</v>
      </c>
    </row>
    <row r="97" spans="3:3">
      <c r="C97" s="30" t="s">
        <v>209</v>
      </c>
    </row>
    <row r="98" spans="3:3">
      <c r="C98" s="30" t="s">
        <v>59</v>
      </c>
    </row>
    <row r="99" spans="3:3">
      <c r="C99" s="30" t="s">
        <v>209</v>
      </c>
    </row>
    <row r="100" spans="3:3">
      <c r="C100" s="30" t="s">
        <v>1800</v>
      </c>
    </row>
    <row r="101" spans="3:3">
      <c r="C101" s="30" t="s">
        <v>1469</v>
      </c>
    </row>
    <row r="102" spans="3:3">
      <c r="C102" s="30" t="s">
        <v>590</v>
      </c>
    </row>
    <row r="103" spans="3:3" hidden="1">
      <c r="C103" s="12" t="s">
        <v>1281</v>
      </c>
    </row>
    <row r="104" spans="3:3" hidden="1">
      <c r="C104" s="12" t="s">
        <v>278</v>
      </c>
    </row>
    <row r="105" spans="3:3" hidden="1">
      <c r="C105" s="12" t="s">
        <v>278</v>
      </c>
    </row>
    <row r="106" spans="3:3">
      <c r="C106" s="30" t="s">
        <v>12</v>
      </c>
    </row>
    <row r="107" spans="3:3" hidden="1">
      <c r="C107" s="12" t="s">
        <v>1281</v>
      </c>
    </row>
    <row r="108" spans="3:3" hidden="1">
      <c r="C108" s="12" t="s">
        <v>278</v>
      </c>
    </row>
    <row r="109" spans="3:3">
      <c r="C109" s="30" t="s">
        <v>1075</v>
      </c>
    </row>
    <row r="110" spans="3:3" hidden="1">
      <c r="C110" s="12" t="s">
        <v>278</v>
      </c>
    </row>
    <row r="111" spans="3:3" hidden="1">
      <c r="C111" s="12" t="s">
        <v>278</v>
      </c>
    </row>
    <row r="112" spans="3:3">
      <c r="C112" s="30" t="s">
        <v>12</v>
      </c>
    </row>
    <row r="113" spans="3:3" hidden="1">
      <c r="C113" s="12" t="s">
        <v>278</v>
      </c>
    </row>
    <row r="114" spans="3:3">
      <c r="C114" s="30" t="s">
        <v>817</v>
      </c>
    </row>
    <row r="115" spans="3:3" hidden="1">
      <c r="C115" s="12" t="s">
        <v>278</v>
      </c>
    </row>
    <row r="116" spans="3:3" hidden="1">
      <c r="C116" s="12" t="s">
        <v>278</v>
      </c>
    </row>
    <row r="117" spans="3:3">
      <c r="C117" s="30" t="s">
        <v>62</v>
      </c>
    </row>
    <row r="118" spans="3:3" hidden="1">
      <c r="C118" s="12" t="s">
        <v>1281</v>
      </c>
    </row>
    <row r="119" spans="3:3">
      <c r="C119" s="30" t="s">
        <v>673</v>
      </c>
    </row>
    <row r="120" spans="3:3" hidden="1">
      <c r="C120" s="12" t="s">
        <v>278</v>
      </c>
    </row>
    <row r="121" spans="3:3">
      <c r="C121" s="30" t="s">
        <v>60</v>
      </c>
    </row>
    <row r="122" spans="3:3">
      <c r="C122" s="30" t="s">
        <v>675</v>
      </c>
    </row>
    <row r="123" spans="3:3">
      <c r="C123" s="30" t="s">
        <v>12</v>
      </c>
    </row>
    <row r="124" spans="3:3">
      <c r="C124" s="30" t="s">
        <v>12</v>
      </c>
    </row>
    <row r="125" spans="3:3">
      <c r="C125" s="30" t="s">
        <v>60</v>
      </c>
    </row>
    <row r="126" spans="3:3">
      <c r="C126" s="30" t="s">
        <v>1233</v>
      </c>
    </row>
    <row r="127" spans="3:3">
      <c r="C127" s="30" t="s">
        <v>51</v>
      </c>
    </row>
    <row r="128" spans="3:3" hidden="1">
      <c r="C128" s="12" t="s">
        <v>278</v>
      </c>
    </row>
    <row r="129" spans="3:3">
      <c r="C129" s="30" t="s">
        <v>51</v>
      </c>
    </row>
    <row r="130" spans="3:3">
      <c r="C130" s="30" t="s">
        <v>12</v>
      </c>
    </row>
    <row r="131" spans="3:3">
      <c r="C131" s="30" t="s">
        <v>75</v>
      </c>
    </row>
    <row r="132" spans="3:3" hidden="1">
      <c r="C132" s="12" t="s">
        <v>278</v>
      </c>
    </row>
    <row r="133" spans="3:3" hidden="1">
      <c r="C133" s="12" t="s">
        <v>278</v>
      </c>
    </row>
    <row r="134" spans="3:3">
      <c r="C134" s="30" t="s">
        <v>12</v>
      </c>
    </row>
    <row r="135" spans="3:3" hidden="1">
      <c r="C135" s="12" t="s">
        <v>278</v>
      </c>
    </row>
    <row r="136" spans="3:3">
      <c r="C136" s="30" t="s">
        <v>239</v>
      </c>
    </row>
    <row r="137" spans="3:3">
      <c r="C137" s="30" t="s">
        <v>59</v>
      </c>
    </row>
    <row r="138" spans="3:3" hidden="1">
      <c r="C138" s="12" t="s">
        <v>278</v>
      </c>
    </row>
    <row r="139" spans="3:3" hidden="1">
      <c r="C139" s="12" t="s">
        <v>1281</v>
      </c>
    </row>
    <row r="140" spans="3:3">
      <c r="C140" s="30" t="s">
        <v>1075</v>
      </c>
    </row>
    <row r="141" spans="3:3" hidden="1">
      <c r="C141" s="12" t="s">
        <v>1281</v>
      </c>
    </row>
    <row r="142" spans="3:3" hidden="1">
      <c r="C142" s="12" t="s">
        <v>278</v>
      </c>
    </row>
    <row r="143" spans="3:3" hidden="1">
      <c r="C143" s="12" t="s">
        <v>278</v>
      </c>
    </row>
    <row r="144" spans="3:3">
      <c r="C144" s="30" t="s">
        <v>62</v>
      </c>
    </row>
    <row r="145" spans="3:3">
      <c r="C145" s="30" t="s">
        <v>12</v>
      </c>
    </row>
    <row r="146" spans="3:3" hidden="1">
      <c r="C146" s="12" t="s">
        <v>1281</v>
      </c>
    </row>
    <row r="147" spans="3:3">
      <c r="C147" s="30" t="s">
        <v>1233</v>
      </c>
    </row>
    <row r="148" spans="3:3" hidden="1">
      <c r="C148" s="12" t="s">
        <v>278</v>
      </c>
    </row>
    <row r="149" spans="3:3">
      <c r="C149" s="30" t="s">
        <v>241</v>
      </c>
    </row>
    <row r="150" spans="3:3" hidden="1">
      <c r="C150" s="12" t="s">
        <v>278</v>
      </c>
    </row>
    <row r="151" spans="3:3">
      <c r="C151" s="30" t="s">
        <v>1233</v>
      </c>
    </row>
    <row r="152" spans="3:3">
      <c r="C152" s="30" t="s">
        <v>1233</v>
      </c>
    </row>
    <row r="153" spans="3:3" hidden="1">
      <c r="C153" s="12" t="s">
        <v>278</v>
      </c>
    </row>
    <row r="154" spans="3:3">
      <c r="C154" s="30" t="s">
        <v>1233</v>
      </c>
    </row>
    <row r="155" spans="3:3">
      <c r="C155" s="30" t="s">
        <v>1075</v>
      </c>
    </row>
    <row r="156" spans="3:3">
      <c r="C156" s="30" t="s">
        <v>1233</v>
      </c>
    </row>
    <row r="157" spans="3:3">
      <c r="C157" s="30" t="s">
        <v>12</v>
      </c>
    </row>
    <row r="158" spans="3:3">
      <c r="C158" s="30" t="s">
        <v>122</v>
      </c>
    </row>
    <row r="159" spans="3:3">
      <c r="C159" s="30" t="s">
        <v>1233</v>
      </c>
    </row>
    <row r="160" spans="3:3">
      <c r="C160" s="30" t="s">
        <v>12</v>
      </c>
    </row>
    <row r="161" spans="3:3">
      <c r="C161" s="30" t="s">
        <v>60</v>
      </c>
    </row>
    <row r="162" spans="3:3">
      <c r="C162" s="30" t="s">
        <v>1233</v>
      </c>
    </row>
    <row r="163" spans="3:3">
      <c r="C163" s="30" t="s">
        <v>51</v>
      </c>
    </row>
    <row r="164" spans="3:3">
      <c r="C164" s="30" t="s">
        <v>1075</v>
      </c>
    </row>
    <row r="165" spans="3:3" hidden="1">
      <c r="C165" s="12" t="s">
        <v>278</v>
      </c>
    </row>
    <row r="166" spans="3:3">
      <c r="C166" s="30" t="s">
        <v>12</v>
      </c>
    </row>
    <row r="167" spans="3:3" hidden="1">
      <c r="C167" s="12" t="s">
        <v>278</v>
      </c>
    </row>
    <row r="168" spans="3:3">
      <c r="C168" s="30" t="s">
        <v>669</v>
      </c>
    </row>
    <row r="169" spans="3:3" hidden="1">
      <c r="C169" s="12" t="s">
        <v>1281</v>
      </c>
    </row>
    <row r="170" spans="3:3">
      <c r="C170" s="30" t="s">
        <v>51</v>
      </c>
    </row>
    <row r="171" spans="3:3" hidden="1">
      <c r="C171" s="12" t="s">
        <v>278</v>
      </c>
    </row>
    <row r="172" spans="3:3" hidden="1">
      <c r="C172" s="12" t="s">
        <v>278</v>
      </c>
    </row>
    <row r="173" spans="3:3" hidden="1">
      <c r="C173" s="12" t="s">
        <v>278</v>
      </c>
    </row>
    <row r="174" spans="3:3">
      <c r="C174" s="30" t="s">
        <v>12</v>
      </c>
    </row>
    <row r="175" spans="3:3" hidden="1">
      <c r="C175" s="12" t="s">
        <v>278</v>
      </c>
    </row>
    <row r="176" spans="3:3">
      <c r="C176" s="30" t="s">
        <v>1031</v>
      </c>
    </row>
    <row r="177" spans="3:3">
      <c r="C177" s="30" t="s">
        <v>12</v>
      </c>
    </row>
    <row r="178" spans="3:3">
      <c r="C178" s="30" t="s">
        <v>122</v>
      </c>
    </row>
    <row r="179" spans="3:3" hidden="1">
      <c r="C179" s="12" t="s">
        <v>278</v>
      </c>
    </row>
    <row r="180" spans="3:3" hidden="1">
      <c r="C180" s="12" t="s">
        <v>278</v>
      </c>
    </row>
    <row r="181" spans="3:3" hidden="1">
      <c r="C181" s="12" t="s">
        <v>278</v>
      </c>
    </row>
    <row r="182" spans="3:3" hidden="1">
      <c r="C182" s="12" t="s">
        <v>278</v>
      </c>
    </row>
    <row r="183" spans="3:3">
      <c r="C183" s="30" t="s">
        <v>1456</v>
      </c>
    </row>
    <row r="184" spans="3:3">
      <c r="C184" s="30" t="s">
        <v>407</v>
      </c>
    </row>
    <row r="185" spans="3:3">
      <c r="C185" s="30" t="s">
        <v>680</v>
      </c>
    </row>
    <row r="186" spans="3:3" hidden="1">
      <c r="C186" s="12" t="s">
        <v>1281</v>
      </c>
    </row>
    <row r="187" spans="3:3">
      <c r="C187" s="30" t="s">
        <v>122</v>
      </c>
    </row>
    <row r="188" spans="3:3">
      <c r="C188" s="30" t="s">
        <v>66</v>
      </c>
    </row>
    <row r="189" spans="3:3">
      <c r="C189" s="30" t="s">
        <v>12</v>
      </c>
    </row>
    <row r="190" spans="3:3" hidden="1">
      <c r="C190" s="12" t="s">
        <v>1281</v>
      </c>
    </row>
    <row r="191" spans="3:3" hidden="1">
      <c r="C191" s="12" t="s">
        <v>1281</v>
      </c>
    </row>
    <row r="192" spans="3:3">
      <c r="C192" s="30" t="s">
        <v>1233</v>
      </c>
    </row>
    <row r="193" spans="3:3" hidden="1">
      <c r="C193" s="12" t="s">
        <v>1281</v>
      </c>
    </row>
    <row r="194" spans="3:3" hidden="1">
      <c r="C194" s="12" t="s">
        <v>278</v>
      </c>
    </row>
    <row r="195" spans="3:3" hidden="1">
      <c r="C195" s="12" t="s">
        <v>278</v>
      </c>
    </row>
    <row r="196" spans="3:3">
      <c r="C196" s="30" t="s">
        <v>794</v>
      </c>
    </row>
    <row r="197" spans="3:3">
      <c r="C197" s="30" t="s">
        <v>1075</v>
      </c>
    </row>
    <row r="198" spans="3:3" hidden="1">
      <c r="C198" s="12" t="s">
        <v>278</v>
      </c>
    </row>
    <row r="199" spans="3:3" hidden="1">
      <c r="C199" s="12" t="s">
        <v>1281</v>
      </c>
    </row>
    <row r="200" spans="3:3" hidden="1">
      <c r="C200" s="13" t="s">
        <v>1281</v>
      </c>
    </row>
    <row r="201" spans="3:3" hidden="1">
      <c r="C201" s="13" t="s">
        <v>1281</v>
      </c>
    </row>
    <row r="202" spans="3:3">
      <c r="C202" s="30" t="s">
        <v>122</v>
      </c>
    </row>
    <row r="203" spans="3:3">
      <c r="C203" s="30" t="s">
        <v>1233</v>
      </c>
    </row>
    <row r="204" spans="3:3" hidden="1">
      <c r="C204" s="13" t="s">
        <v>1281</v>
      </c>
    </row>
    <row r="205" spans="3:3">
      <c r="C205" s="30" t="s">
        <v>1233</v>
      </c>
    </row>
    <row r="206" spans="3:3" hidden="1">
      <c r="C206" s="13" t="s">
        <v>1281</v>
      </c>
    </row>
    <row r="207" spans="3:3">
      <c r="C207" s="30" t="s">
        <v>1233</v>
      </c>
    </row>
    <row r="208" spans="3:3" hidden="1">
      <c r="C208" s="13" t="s">
        <v>1281</v>
      </c>
    </row>
    <row r="209" spans="3:3" hidden="1">
      <c r="C209" s="13" t="s">
        <v>1281</v>
      </c>
    </row>
    <row r="210" spans="3:3">
      <c r="C210" s="30" t="s">
        <v>1075</v>
      </c>
    </row>
    <row r="211" spans="3:3" hidden="1">
      <c r="C211" s="13" t="s">
        <v>1281</v>
      </c>
    </row>
    <row r="212" spans="3:3" hidden="1">
      <c r="C212" s="12" t="s">
        <v>569</v>
      </c>
    </row>
    <row r="213" spans="3:3">
      <c r="C213" s="30" t="s">
        <v>58</v>
      </c>
    </row>
    <row r="214" spans="3:3">
      <c r="C214" s="30" t="s">
        <v>409</v>
      </c>
    </row>
    <row r="215" spans="3:3">
      <c r="C215" s="30" t="s">
        <v>1233</v>
      </c>
    </row>
    <row r="216" spans="3:3" hidden="1">
      <c r="C216" s="12" t="s">
        <v>11</v>
      </c>
    </row>
    <row r="217" spans="3:3">
      <c r="C217" s="30" t="s">
        <v>122</v>
      </c>
    </row>
    <row r="218" spans="3:3">
      <c r="C218" s="30" t="s">
        <v>9</v>
      </c>
    </row>
    <row r="219" spans="3:3" hidden="1">
      <c r="C219" s="12" t="s">
        <v>17</v>
      </c>
    </row>
    <row r="220" spans="3:3">
      <c r="C220" s="30" t="s">
        <v>66</v>
      </c>
    </row>
    <row r="221" spans="3:3" hidden="1">
      <c r="C221" s="12" t="s">
        <v>17</v>
      </c>
    </row>
    <row r="222" spans="3:3">
      <c r="C222" s="30" t="s">
        <v>236</v>
      </c>
    </row>
    <row r="223" spans="3:3">
      <c r="C223" s="30" t="s">
        <v>236</v>
      </c>
    </row>
    <row r="224" spans="3:3">
      <c r="C224" s="30" t="s">
        <v>60</v>
      </c>
    </row>
    <row r="225" spans="3:3">
      <c r="C225" s="30" t="s">
        <v>51</v>
      </c>
    </row>
    <row r="226" spans="3:3" hidden="1">
      <c r="C226" s="12" t="s">
        <v>4</v>
      </c>
    </row>
    <row r="227" spans="3:3" hidden="1">
      <c r="C227" s="12" t="s">
        <v>35</v>
      </c>
    </row>
    <row r="228" spans="3:3" hidden="1">
      <c r="C228" s="12" t="s">
        <v>35</v>
      </c>
    </row>
    <row r="229" spans="3:3">
      <c r="C229" s="30" t="s">
        <v>1233</v>
      </c>
    </row>
    <row r="230" spans="3:3">
      <c r="C230" s="30" t="s">
        <v>122</v>
      </c>
    </row>
    <row r="231" spans="3:3">
      <c r="C231" s="30" t="s">
        <v>675</v>
      </c>
    </row>
    <row r="232" spans="3:3">
      <c r="C232" s="30" t="s">
        <v>1233</v>
      </c>
    </row>
    <row r="233" spans="3:3">
      <c r="C233" s="30" t="s">
        <v>12</v>
      </c>
    </row>
    <row r="234" spans="3:3">
      <c r="C234" s="30" t="s">
        <v>242</v>
      </c>
    </row>
    <row r="235" spans="3:3">
      <c r="C235" s="30" t="s">
        <v>806</v>
      </c>
    </row>
    <row r="236" spans="3:3" hidden="1">
      <c r="C236" s="12" t="s">
        <v>35</v>
      </c>
    </row>
    <row r="237" spans="3:3" hidden="1">
      <c r="C237" s="12" t="s">
        <v>5</v>
      </c>
    </row>
    <row r="238" spans="3:3">
      <c r="C238" s="30" t="s">
        <v>12</v>
      </c>
    </row>
    <row r="239" spans="3:3">
      <c r="C239" s="30" t="s">
        <v>202</v>
      </c>
    </row>
    <row r="240" spans="3:3">
      <c r="C240" s="30" t="s">
        <v>62</v>
      </c>
    </row>
    <row r="241" spans="3:3">
      <c r="C241" s="30" t="s">
        <v>1233</v>
      </c>
    </row>
    <row r="242" spans="3:3" hidden="1">
      <c r="C242" s="12" t="s">
        <v>5</v>
      </c>
    </row>
    <row r="243" spans="3:3" hidden="1">
      <c r="C243" s="12" t="s">
        <v>20</v>
      </c>
    </row>
    <row r="244" spans="3:3">
      <c r="C244" s="30" t="s">
        <v>47</v>
      </c>
    </row>
    <row r="245" spans="3:3" hidden="1">
      <c r="C245" s="12" t="s">
        <v>20</v>
      </c>
    </row>
    <row r="246" spans="3:3" hidden="1">
      <c r="C246" s="12" t="s">
        <v>20</v>
      </c>
    </row>
    <row r="247" spans="3:3">
      <c r="C247" s="30" t="s">
        <v>809</v>
      </c>
    </row>
    <row r="248" spans="3:3">
      <c r="C248" s="30" t="s">
        <v>12</v>
      </c>
    </row>
    <row r="249" spans="3:3" hidden="1">
      <c r="C249" s="12" t="s">
        <v>20</v>
      </c>
    </row>
    <row r="250" spans="3:3" hidden="1">
      <c r="C250" s="12" t="s">
        <v>20</v>
      </c>
    </row>
    <row r="251" spans="3:3">
      <c r="C251" s="30" t="s">
        <v>1233</v>
      </c>
    </row>
    <row r="252" spans="3:3">
      <c r="C252" s="30" t="s">
        <v>680</v>
      </c>
    </row>
    <row r="253" spans="3:3" hidden="1">
      <c r="C253" s="12" t="s">
        <v>20</v>
      </c>
    </row>
    <row r="254" spans="3:3">
      <c r="C254" s="30" t="s">
        <v>122</v>
      </c>
    </row>
    <row r="255" spans="3:3" hidden="1">
      <c r="C255" s="12" t="s">
        <v>20</v>
      </c>
    </row>
    <row r="256" spans="3:3" hidden="1">
      <c r="C256" s="12" t="s">
        <v>7</v>
      </c>
    </row>
    <row r="257" spans="3:3">
      <c r="C257" s="30" t="s">
        <v>1233</v>
      </c>
    </row>
    <row r="258" spans="3:3">
      <c r="C258" s="30" t="s">
        <v>47</v>
      </c>
    </row>
    <row r="259" spans="3:3">
      <c r="C259" s="30" t="s">
        <v>75</v>
      </c>
    </row>
    <row r="260" spans="3:3">
      <c r="C260" s="30" t="s">
        <v>75</v>
      </c>
    </row>
    <row r="261" spans="3:3" hidden="1">
      <c r="C261" s="12" t="s">
        <v>7</v>
      </c>
    </row>
    <row r="262" spans="3:3">
      <c r="C262" s="30" t="s">
        <v>1233</v>
      </c>
    </row>
    <row r="263" spans="3:3">
      <c r="C263" s="30" t="s">
        <v>12</v>
      </c>
    </row>
    <row r="264" spans="3:3">
      <c r="C264" s="30" t="s">
        <v>1233</v>
      </c>
    </row>
    <row r="265" spans="3:3" hidden="1">
      <c r="C265" s="12" t="s">
        <v>7</v>
      </c>
    </row>
    <row r="266" spans="3:3" hidden="1">
      <c r="C266" s="12" t="s">
        <v>7</v>
      </c>
    </row>
    <row r="267" spans="3:3">
      <c r="C267" s="30" t="s">
        <v>12</v>
      </c>
    </row>
    <row r="268" spans="3:3">
      <c r="C268" s="30" t="s">
        <v>12</v>
      </c>
    </row>
    <row r="269" spans="3:3">
      <c r="C269" s="30" t="s">
        <v>1233</v>
      </c>
    </row>
    <row r="270" spans="3:3">
      <c r="C270" s="30" t="s">
        <v>1233</v>
      </c>
    </row>
    <row r="271" spans="3:3" hidden="1">
      <c r="C271" s="12" t="s">
        <v>7</v>
      </c>
    </row>
    <row r="272" spans="3:3">
      <c r="C272" s="30" t="s">
        <v>1233</v>
      </c>
    </row>
    <row r="273" spans="3:3" hidden="1">
      <c r="C273" s="12" t="s">
        <v>573</v>
      </c>
    </row>
    <row r="274" spans="3:3">
      <c r="C274" s="30" t="s">
        <v>1233</v>
      </c>
    </row>
    <row r="275" spans="3:3">
      <c r="C275" s="30" t="s">
        <v>122</v>
      </c>
    </row>
    <row r="276" spans="3:3">
      <c r="C276" s="30" t="s">
        <v>58</v>
      </c>
    </row>
    <row r="277" spans="3:3">
      <c r="C277" s="30" t="s">
        <v>1233</v>
      </c>
    </row>
    <row r="278" spans="3:3" hidden="1">
      <c r="C278" s="12" t="s">
        <v>573</v>
      </c>
    </row>
    <row r="279" spans="3:3" hidden="1">
      <c r="C279" s="12" t="s">
        <v>573</v>
      </c>
    </row>
    <row r="280" spans="3:3">
      <c r="C280" s="30" t="s">
        <v>814</v>
      </c>
    </row>
    <row r="281" spans="3:3" hidden="1">
      <c r="C281" s="12" t="s">
        <v>40</v>
      </c>
    </row>
    <row r="282" spans="3:3">
      <c r="C282" s="30" t="s">
        <v>1075</v>
      </c>
    </row>
    <row r="283" spans="3:3">
      <c r="C283" s="30" t="s">
        <v>12</v>
      </c>
    </row>
    <row r="284" spans="3:3" hidden="1">
      <c r="C284" s="12" t="s">
        <v>40</v>
      </c>
    </row>
    <row r="285" spans="3:3">
      <c r="C285" s="30" t="s">
        <v>1075</v>
      </c>
    </row>
    <row r="286" spans="3:3" hidden="1">
      <c r="C286" s="12" t="s">
        <v>40</v>
      </c>
    </row>
    <row r="287" spans="3:3">
      <c r="C287" s="30" t="s">
        <v>1233</v>
      </c>
    </row>
    <row r="288" spans="3:3" hidden="1">
      <c r="C288" s="12" t="s">
        <v>40</v>
      </c>
    </row>
    <row r="289" spans="3:3">
      <c r="C289" s="30" t="s">
        <v>1233</v>
      </c>
    </row>
    <row r="290" spans="3:3">
      <c r="C290" s="30" t="s">
        <v>51</v>
      </c>
    </row>
    <row r="291" spans="3:3">
      <c r="C291" s="30" t="s">
        <v>12</v>
      </c>
    </row>
    <row r="292" spans="3:3" hidden="1">
      <c r="C292" s="12" t="s">
        <v>40</v>
      </c>
    </row>
    <row r="293" spans="3:3">
      <c r="C293" s="30" t="s">
        <v>66</v>
      </c>
    </row>
    <row r="294" spans="3:3">
      <c r="C294" s="30" t="s">
        <v>1233</v>
      </c>
    </row>
    <row r="295" spans="3:3" hidden="1">
      <c r="C295" s="12" t="s">
        <v>40</v>
      </c>
    </row>
    <row r="296" spans="3:3">
      <c r="C296" s="30" t="s">
        <v>122</v>
      </c>
    </row>
    <row r="297" spans="3:3">
      <c r="C297" s="30" t="s">
        <v>75</v>
      </c>
    </row>
    <row r="298" spans="3:3">
      <c r="C298" s="30" t="s">
        <v>1233</v>
      </c>
    </row>
    <row r="299" spans="3:3">
      <c r="C299" s="30" t="s">
        <v>680</v>
      </c>
    </row>
    <row r="300" spans="3:3">
      <c r="C300" s="30" t="s">
        <v>1233</v>
      </c>
    </row>
    <row r="301" spans="3:3">
      <c r="C301" s="30" t="s">
        <v>75</v>
      </c>
    </row>
    <row r="302" spans="3:3">
      <c r="C302" s="30" t="s">
        <v>1233</v>
      </c>
    </row>
    <row r="303" spans="3:3" hidden="1">
      <c r="C303" s="12" t="s">
        <v>649</v>
      </c>
    </row>
    <row r="304" spans="3:3">
      <c r="C304" s="30" t="s">
        <v>673</v>
      </c>
    </row>
    <row r="305" spans="3:3">
      <c r="C305" s="30" t="s">
        <v>75</v>
      </c>
    </row>
    <row r="306" spans="3:3">
      <c r="C306" s="30" t="s">
        <v>671</v>
      </c>
    </row>
    <row r="307" spans="3:3">
      <c r="C307" s="30" t="s">
        <v>75</v>
      </c>
    </row>
    <row r="308" spans="3:3">
      <c r="C308" s="30" t="s">
        <v>1233</v>
      </c>
    </row>
    <row r="309" spans="3:3">
      <c r="C309" s="30" t="s">
        <v>1233</v>
      </c>
    </row>
    <row r="310" spans="3:3">
      <c r="C310" s="30" t="s">
        <v>12</v>
      </c>
    </row>
    <row r="311" spans="3:3" hidden="1">
      <c r="C311" s="12" t="s">
        <v>649</v>
      </c>
    </row>
    <row r="312" spans="3:3" hidden="1">
      <c r="C312" s="12" t="s">
        <v>649</v>
      </c>
    </row>
    <row r="313" spans="3:3" hidden="1">
      <c r="C313" s="12" t="s">
        <v>333</v>
      </c>
    </row>
    <row r="314" spans="3:3">
      <c r="C314" s="30" t="s">
        <v>58</v>
      </c>
    </row>
    <row r="315" spans="3:3">
      <c r="C315" s="30" t="s">
        <v>680</v>
      </c>
    </row>
    <row r="316" spans="3:3" hidden="1">
      <c r="C316" s="12" t="s">
        <v>335</v>
      </c>
    </row>
    <row r="317" spans="3:3" hidden="1">
      <c r="C317" s="12" t="s">
        <v>335</v>
      </c>
    </row>
    <row r="318" spans="3:3">
      <c r="C318" s="30" t="s">
        <v>12</v>
      </c>
    </row>
    <row r="319" spans="3:3" hidden="1">
      <c r="C319" s="12" t="s">
        <v>502</v>
      </c>
    </row>
    <row r="320" spans="3:3">
      <c r="C320" s="30" t="s">
        <v>47</v>
      </c>
    </row>
    <row r="321" spans="3:3" hidden="1">
      <c r="C321" s="12" t="s">
        <v>1002</v>
      </c>
    </row>
    <row r="322" spans="3:3" hidden="1">
      <c r="C322" s="12" t="s">
        <v>502</v>
      </c>
    </row>
    <row r="323" spans="3:3">
      <c r="C323" s="30" t="s">
        <v>1233</v>
      </c>
    </row>
    <row r="324" spans="3:3" hidden="1">
      <c r="C324" s="12" t="s">
        <v>502</v>
      </c>
    </row>
    <row r="325" spans="3:3">
      <c r="C325" s="30" t="s">
        <v>1233</v>
      </c>
    </row>
    <row r="326" spans="3:3">
      <c r="C326" s="30" t="s">
        <v>1233</v>
      </c>
    </row>
    <row r="327" spans="3:3" hidden="1">
      <c r="C327" s="12" t="s">
        <v>502</v>
      </c>
    </row>
    <row r="328" spans="3:3">
      <c r="C328" s="30" t="s">
        <v>680</v>
      </c>
    </row>
    <row r="329" spans="3:3">
      <c r="C329" s="30" t="s">
        <v>1075</v>
      </c>
    </row>
    <row r="330" spans="3:3" hidden="1">
      <c r="C330" s="12" t="s">
        <v>1002</v>
      </c>
    </row>
    <row r="331" spans="3:3" hidden="1">
      <c r="C331" s="12" t="s">
        <v>234</v>
      </c>
    </row>
    <row r="332" spans="3:3">
      <c r="C332" s="30" t="s">
        <v>2071</v>
      </c>
    </row>
    <row r="333" spans="3:3">
      <c r="C333" s="30" t="s">
        <v>2071</v>
      </c>
    </row>
    <row r="334" spans="3:3">
      <c r="C334" s="30" t="s">
        <v>122</v>
      </c>
    </row>
    <row r="335" spans="3:3" hidden="1">
      <c r="C335" s="12" t="s">
        <v>44</v>
      </c>
    </row>
    <row r="336" spans="3:3">
      <c r="C336" s="30" t="s">
        <v>671</v>
      </c>
    </row>
    <row r="337" spans="3:3">
      <c r="C337" s="30" t="s">
        <v>1233</v>
      </c>
    </row>
    <row r="338" spans="3:3">
      <c r="C338" s="30" t="s">
        <v>122</v>
      </c>
    </row>
    <row r="339" spans="3:3">
      <c r="C339" s="30" t="s">
        <v>1456</v>
      </c>
    </row>
    <row r="340" spans="3:3">
      <c r="C340" s="30" t="s">
        <v>669</v>
      </c>
    </row>
    <row r="341" spans="3:3">
      <c r="C341" s="30" t="s">
        <v>1233</v>
      </c>
    </row>
    <row r="342" spans="3:3" hidden="1">
      <c r="C342" s="12" t="s">
        <v>44</v>
      </c>
    </row>
    <row r="343" spans="3:3">
      <c r="C343" s="30" t="s">
        <v>122</v>
      </c>
    </row>
    <row r="344" spans="3:3" hidden="1">
      <c r="C344" s="12" t="s">
        <v>44</v>
      </c>
    </row>
    <row r="345" spans="3:3" hidden="1">
      <c r="C345" s="12" t="s">
        <v>44</v>
      </c>
    </row>
    <row r="346" spans="3:3">
      <c r="C346" s="30" t="s">
        <v>66</v>
      </c>
    </row>
    <row r="347" spans="3:3">
      <c r="C347" s="30" t="s">
        <v>678</v>
      </c>
    </row>
    <row r="348" spans="3:3">
      <c r="C348" s="30" t="s">
        <v>51</v>
      </c>
    </row>
    <row r="349" spans="3:3">
      <c r="C349" s="30" t="s">
        <v>1469</v>
      </c>
    </row>
    <row r="350" spans="3:3" hidden="1">
      <c r="C350" s="12" t="s">
        <v>44</v>
      </c>
    </row>
    <row r="351" spans="3:3">
      <c r="C351" s="30" t="s">
        <v>1233</v>
      </c>
    </row>
    <row r="352" spans="3:3" hidden="1">
      <c r="C352" s="12" t="s">
        <v>44</v>
      </c>
    </row>
    <row r="353" spans="3:3" hidden="1">
      <c r="C353" s="12" t="s">
        <v>44</v>
      </c>
    </row>
    <row r="354" spans="3:3" hidden="1">
      <c r="C354" s="12" t="s">
        <v>44</v>
      </c>
    </row>
    <row r="355" spans="3:3" hidden="1">
      <c r="C355" s="12" t="s">
        <v>44</v>
      </c>
    </row>
    <row r="356" spans="3:3" hidden="1">
      <c r="C356" s="12" t="s">
        <v>44</v>
      </c>
    </row>
    <row r="357" spans="3:3">
      <c r="C357" s="30" t="s">
        <v>1233</v>
      </c>
    </row>
    <row r="358" spans="3:3">
      <c r="C358" s="30" t="s">
        <v>1233</v>
      </c>
    </row>
    <row r="359" spans="3:3">
      <c r="C359" s="30" t="s">
        <v>122</v>
      </c>
    </row>
    <row r="360" spans="3:3">
      <c r="C360" s="30" t="s">
        <v>1800</v>
      </c>
    </row>
    <row r="361" spans="3:3" hidden="1">
      <c r="C361" s="12" t="s">
        <v>44</v>
      </c>
    </row>
    <row r="362" spans="3:3">
      <c r="C362" s="30" t="s">
        <v>122</v>
      </c>
    </row>
    <row r="363" spans="3:3">
      <c r="C363" s="30" t="s">
        <v>1233</v>
      </c>
    </row>
    <row r="364" spans="3:3">
      <c r="C364" s="30" t="s">
        <v>1233</v>
      </c>
    </row>
    <row r="365" spans="3:3">
      <c r="C365" s="30" t="s">
        <v>60</v>
      </c>
    </row>
    <row r="366" spans="3:3">
      <c r="C366" s="30" t="s">
        <v>122</v>
      </c>
    </row>
    <row r="367" spans="3:3">
      <c r="C367" s="30" t="s">
        <v>51</v>
      </c>
    </row>
    <row r="368" spans="3:3">
      <c r="C368" s="30" t="s">
        <v>669</v>
      </c>
    </row>
    <row r="369" spans="3:3">
      <c r="C369" s="30" t="s">
        <v>51</v>
      </c>
    </row>
    <row r="370" spans="3:3">
      <c r="C370" s="30" t="s">
        <v>51</v>
      </c>
    </row>
    <row r="371" spans="3:3" hidden="1">
      <c r="C371" s="12" t="s">
        <v>44</v>
      </c>
    </row>
    <row r="372" spans="3:3">
      <c r="C372" s="30" t="s">
        <v>1233</v>
      </c>
    </row>
    <row r="373" spans="3:3" hidden="1">
      <c r="C373" s="12" t="s">
        <v>44</v>
      </c>
    </row>
    <row r="374" spans="3:3">
      <c r="C374" s="30" t="s">
        <v>1233</v>
      </c>
    </row>
    <row r="375" spans="3:3" hidden="1">
      <c r="C375" s="12" t="s">
        <v>1038</v>
      </c>
    </row>
    <row r="376" spans="3:3">
      <c r="C376" s="30" t="s">
        <v>75</v>
      </c>
    </row>
    <row r="377" spans="3:3">
      <c r="C377" s="30" t="s">
        <v>1233</v>
      </c>
    </row>
    <row r="378" spans="3:3">
      <c r="C378" s="30" t="s">
        <v>9</v>
      </c>
    </row>
    <row r="379" spans="3:3">
      <c r="C379" s="30" t="s">
        <v>1233</v>
      </c>
    </row>
    <row r="380" spans="3:3">
      <c r="C380" s="30" t="s">
        <v>122</v>
      </c>
    </row>
    <row r="381" spans="3:3">
      <c r="C381" s="30" t="s">
        <v>407</v>
      </c>
    </row>
    <row r="382" spans="3:3" hidden="1">
      <c r="C382" s="12" t="s">
        <v>44</v>
      </c>
    </row>
    <row r="383" spans="3:3" hidden="1">
      <c r="C383" s="12" t="s">
        <v>42</v>
      </c>
    </row>
    <row r="384" spans="3:3">
      <c r="C384" s="30" t="s">
        <v>1233</v>
      </c>
    </row>
    <row r="385" spans="3:3">
      <c r="C385" s="30" t="s">
        <v>1233</v>
      </c>
    </row>
    <row r="386" spans="3:3">
      <c r="C386" s="30" t="s">
        <v>51</v>
      </c>
    </row>
    <row r="387" spans="3:3">
      <c r="C387" s="30" t="s">
        <v>75</v>
      </c>
    </row>
    <row r="388" spans="3:3">
      <c r="C388" s="30" t="s">
        <v>75</v>
      </c>
    </row>
    <row r="389" spans="3:3">
      <c r="C389" s="30" t="s">
        <v>1233</v>
      </c>
    </row>
    <row r="390" spans="3:3" hidden="1">
      <c r="C390" s="12" t="s">
        <v>42</v>
      </c>
    </row>
    <row r="391" spans="3:3" hidden="1">
      <c r="C391" s="12" t="s">
        <v>42</v>
      </c>
    </row>
    <row r="392" spans="3:3" hidden="1">
      <c r="C392" s="12" t="s">
        <v>42</v>
      </c>
    </row>
    <row r="393" spans="3:3" hidden="1">
      <c r="C393" s="12" t="s">
        <v>42</v>
      </c>
    </row>
    <row r="394" spans="3:3" hidden="1">
      <c r="C394" s="12" t="s">
        <v>42</v>
      </c>
    </row>
    <row r="395" spans="3:3">
      <c r="C395" s="31" t="s">
        <v>2058</v>
      </c>
    </row>
    <row r="396" spans="3:3" hidden="1">
      <c r="C396" s="12" t="s">
        <v>574</v>
      </c>
    </row>
    <row r="397" spans="3:3" hidden="1">
      <c r="C397" s="12" t="s">
        <v>574</v>
      </c>
    </row>
    <row r="398" spans="3:3" hidden="1">
      <c r="C398" s="12" t="s">
        <v>574</v>
      </c>
    </row>
    <row r="399" spans="3:3">
      <c r="C399" s="31" t="s">
        <v>2022</v>
      </c>
    </row>
    <row r="400" spans="3:3" hidden="1">
      <c r="C400" s="12" t="s">
        <v>1067</v>
      </c>
    </row>
    <row r="401" spans="3:3" hidden="1">
      <c r="C401" s="12" t="s">
        <v>574</v>
      </c>
    </row>
    <row r="402" spans="3:3" hidden="1">
      <c r="C402" s="12" t="s">
        <v>119</v>
      </c>
    </row>
    <row r="403" spans="3:3" hidden="1">
      <c r="C403" s="19" t="s">
        <v>1072</v>
      </c>
    </row>
    <row r="404" spans="3:3" hidden="1">
      <c r="C404" s="12" t="s">
        <v>231</v>
      </c>
    </row>
  </sheetData>
  <autoFilter ref="C4:C404" xr:uid="{00000000-0009-0000-0000-000003000000}">
    <filterColumn colId="0">
      <colorFilter dxfId="0"/>
    </filterColumn>
    <sortState xmlns:xlrd2="http://schemas.microsoft.com/office/spreadsheetml/2017/richdata2" ref="C6:C404">
      <sortCondition ref="C4:C404"/>
    </sortState>
  </autoFilter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/>
  <dimension ref="D4:E143"/>
  <sheetViews>
    <sheetView workbookViewId="0">
      <selection activeCell="A3" sqref="A3"/>
    </sheetView>
  </sheetViews>
  <sheetFormatPr defaultRowHeight="16.5"/>
  <sheetData>
    <row r="4" spans="4:5">
      <c r="D4" t="s">
        <v>2081</v>
      </c>
      <c r="E4" t="s">
        <v>2082</v>
      </c>
    </row>
    <row r="5" spans="4:5" hidden="1">
      <c r="D5">
        <v>8.916522074416811</v>
      </c>
      <c r="E5" t="s">
        <v>999</v>
      </c>
    </row>
    <row r="6" spans="4:5" hidden="1">
      <c r="D6">
        <v>6.0995184590690208</v>
      </c>
      <c r="E6" t="s">
        <v>936</v>
      </c>
    </row>
    <row r="7" spans="4:5" hidden="1">
      <c r="D7">
        <v>6.0947824105718853</v>
      </c>
      <c r="E7" t="s">
        <v>936</v>
      </c>
    </row>
    <row r="8" spans="4:5" hidden="1">
      <c r="D8">
        <v>4.1979949874686708</v>
      </c>
      <c r="E8" t="s">
        <v>936</v>
      </c>
    </row>
    <row r="9" spans="4:5" hidden="1">
      <c r="D9">
        <v>3.9011088848291986</v>
      </c>
      <c r="E9" t="s">
        <v>999</v>
      </c>
    </row>
    <row r="10" spans="4:5" hidden="1">
      <c r="D10">
        <v>3.5087719298245617</v>
      </c>
      <c r="E10" t="s">
        <v>936</v>
      </c>
    </row>
    <row r="11" spans="4:5" hidden="1">
      <c r="D11">
        <v>2.7929112682295041</v>
      </c>
      <c r="E11" t="s">
        <v>936</v>
      </c>
    </row>
    <row r="12" spans="4:5" hidden="1">
      <c r="D12">
        <v>2.75</v>
      </c>
      <c r="E12" t="s">
        <v>936</v>
      </c>
    </row>
    <row r="13" spans="4:5" hidden="1">
      <c r="D13">
        <v>2.681704260651629</v>
      </c>
      <c r="E13" t="s">
        <v>936</v>
      </c>
    </row>
    <row r="14" spans="4:5" hidden="1">
      <c r="D14">
        <v>2.5625</v>
      </c>
      <c r="E14" t="s">
        <v>936</v>
      </c>
    </row>
    <row r="15" spans="4:5" hidden="1">
      <c r="D15">
        <v>2.5375939849624061</v>
      </c>
      <c r="E15" t="s">
        <v>936</v>
      </c>
    </row>
    <row r="16" spans="4:5" hidden="1">
      <c r="D16">
        <v>2.4452269170579033</v>
      </c>
      <c r="E16" t="s">
        <v>999</v>
      </c>
    </row>
    <row r="17" spans="4:5" hidden="1">
      <c r="D17">
        <v>2.3893360160965793</v>
      </c>
      <c r="E17" t="s">
        <v>999</v>
      </c>
    </row>
    <row r="18" spans="4:5" hidden="1">
      <c r="D18">
        <v>2.3204548091425918</v>
      </c>
      <c r="E18" t="s">
        <v>936</v>
      </c>
    </row>
    <row r="19" spans="4:5" hidden="1">
      <c r="D19">
        <v>2.3204548091425918</v>
      </c>
      <c r="E19" t="s">
        <v>936</v>
      </c>
    </row>
    <row r="20" spans="4:5" hidden="1">
      <c r="D20">
        <v>2.3204548091425918</v>
      </c>
      <c r="E20" t="s">
        <v>936</v>
      </c>
    </row>
    <row r="21" spans="4:5" hidden="1">
      <c r="D21">
        <v>2.3204548091425918</v>
      </c>
      <c r="E21" t="s">
        <v>936</v>
      </c>
    </row>
    <row r="22" spans="4:5" hidden="1">
      <c r="D22">
        <v>2.3072429906542058</v>
      </c>
      <c r="E22" t="s">
        <v>936</v>
      </c>
    </row>
    <row r="23" spans="4:5" hidden="1">
      <c r="D23">
        <v>2.2654308202154101</v>
      </c>
      <c r="E23" t="s">
        <v>999</v>
      </c>
    </row>
    <row r="24" spans="4:5" hidden="1">
      <c r="D24">
        <v>2.2486772486772488</v>
      </c>
      <c r="E24" t="s">
        <v>936</v>
      </c>
    </row>
    <row r="25" spans="4:5" hidden="1">
      <c r="D25">
        <v>2.2223045297973996</v>
      </c>
      <c r="E25" t="s">
        <v>936</v>
      </c>
    </row>
    <row r="26" spans="4:5" hidden="1">
      <c r="D26">
        <v>2.2099166836008939</v>
      </c>
      <c r="E26" t="s">
        <v>936</v>
      </c>
    </row>
    <row r="27" spans="4:5" hidden="1">
      <c r="D27">
        <v>2.2028548999503355</v>
      </c>
      <c r="E27" t="s">
        <v>999</v>
      </c>
    </row>
    <row r="28" spans="4:5" hidden="1">
      <c r="D28">
        <v>2.1926616457405363</v>
      </c>
      <c r="E28" t="s">
        <v>936</v>
      </c>
    </row>
    <row r="29" spans="4:5" hidden="1">
      <c r="D29">
        <v>2.1273474178403755</v>
      </c>
      <c r="E29" t="s">
        <v>999</v>
      </c>
    </row>
    <row r="30" spans="4:5" hidden="1">
      <c r="D30">
        <v>2.127016129032258</v>
      </c>
      <c r="E30" t="s">
        <v>999</v>
      </c>
    </row>
    <row r="31" spans="4:5" hidden="1">
      <c r="D31">
        <v>2.1071428571428568</v>
      </c>
      <c r="E31" t="s">
        <v>936</v>
      </c>
    </row>
    <row r="32" spans="4:5" hidden="1">
      <c r="D32">
        <v>2.0884093282283325</v>
      </c>
      <c r="E32" t="s">
        <v>936</v>
      </c>
    </row>
    <row r="33" spans="4:5" hidden="1">
      <c r="D33">
        <v>2.0833333333333335</v>
      </c>
      <c r="E33" t="s">
        <v>999</v>
      </c>
    </row>
    <row r="34" spans="4:5" hidden="1">
      <c r="D34">
        <v>1.9951923076923077</v>
      </c>
      <c r="E34" t="s">
        <v>936</v>
      </c>
    </row>
    <row r="35" spans="4:5" hidden="1">
      <c r="D35">
        <v>1.9632414369256475</v>
      </c>
      <c r="E35" t="s">
        <v>999</v>
      </c>
    </row>
    <row r="36" spans="4:5" hidden="1">
      <c r="D36">
        <v>1.9466166613469518</v>
      </c>
      <c r="E36" t="s">
        <v>999</v>
      </c>
    </row>
    <row r="37" spans="4:5" hidden="1">
      <c r="D37">
        <v>1.9353402812049427</v>
      </c>
      <c r="E37" t="s">
        <v>936</v>
      </c>
    </row>
    <row r="38" spans="4:5" hidden="1">
      <c r="D38">
        <v>1.9196428571428572</v>
      </c>
      <c r="E38" t="s">
        <v>936</v>
      </c>
    </row>
    <row r="39" spans="4:5" hidden="1">
      <c r="D39">
        <v>1.8795683954054994</v>
      </c>
      <c r="E39" t="s">
        <v>936</v>
      </c>
    </row>
    <row r="40" spans="4:5" hidden="1">
      <c r="D40">
        <v>1.8618184177714068</v>
      </c>
      <c r="E40" t="s">
        <v>999</v>
      </c>
    </row>
    <row r="41" spans="4:5" hidden="1">
      <c r="D41">
        <v>1.8564356435643563</v>
      </c>
      <c r="E41" t="s">
        <v>999</v>
      </c>
    </row>
    <row r="42" spans="4:5" hidden="1">
      <c r="D42">
        <v>1.8563638473140733</v>
      </c>
      <c r="E42" t="s">
        <v>936</v>
      </c>
    </row>
    <row r="43" spans="4:5" hidden="1">
      <c r="D43">
        <v>1.8547563920631365</v>
      </c>
      <c r="E43" t="s">
        <v>936</v>
      </c>
    </row>
    <row r="44" spans="4:5" hidden="1">
      <c r="D44">
        <v>1.8533796629630339</v>
      </c>
      <c r="E44" t="s">
        <v>936</v>
      </c>
    </row>
    <row r="45" spans="4:5" hidden="1">
      <c r="D45">
        <v>1.8461593880957239</v>
      </c>
      <c r="E45" t="s">
        <v>999</v>
      </c>
    </row>
    <row r="46" spans="4:5" hidden="1">
      <c r="D46">
        <v>1.8319644271486213</v>
      </c>
      <c r="E46" t="s">
        <v>999</v>
      </c>
    </row>
    <row r="47" spans="4:5" hidden="1">
      <c r="D47">
        <v>1.7913832199546484</v>
      </c>
      <c r="E47" t="s">
        <v>936</v>
      </c>
    </row>
    <row r="48" spans="4:5" hidden="1">
      <c r="D48">
        <v>1.7778592375366569</v>
      </c>
      <c r="E48" t="s">
        <v>999</v>
      </c>
    </row>
    <row r="49" spans="4:5" hidden="1">
      <c r="D49">
        <v>1.7708333333333333</v>
      </c>
      <c r="E49" t="s">
        <v>936</v>
      </c>
    </row>
    <row r="50" spans="4:5" hidden="1">
      <c r="D50">
        <v>1.7672497980098931</v>
      </c>
      <c r="E50" t="s">
        <v>936</v>
      </c>
    </row>
    <row r="51" spans="4:5" hidden="1">
      <c r="D51">
        <v>1.7605633802816902</v>
      </c>
      <c r="E51" t="s">
        <v>936</v>
      </c>
    </row>
    <row r="52" spans="4:5" hidden="1">
      <c r="D52">
        <v>1.751564450658943</v>
      </c>
      <c r="E52" t="s">
        <v>936</v>
      </c>
    </row>
    <row r="53" spans="4:5" hidden="1">
      <c r="D53">
        <v>1.7475661943975584</v>
      </c>
      <c r="E53" t="s">
        <v>936</v>
      </c>
    </row>
    <row r="54" spans="4:5" hidden="1">
      <c r="D54">
        <v>1.7272912009754116</v>
      </c>
      <c r="E54" t="s">
        <v>936</v>
      </c>
    </row>
    <row r="55" spans="4:5" hidden="1">
      <c r="D55">
        <v>1.7006802721088436</v>
      </c>
      <c r="E55" t="s">
        <v>936</v>
      </c>
    </row>
    <row r="56" spans="4:5" hidden="1">
      <c r="D56">
        <v>1.6917293233082706</v>
      </c>
      <c r="E56" t="s">
        <v>936</v>
      </c>
    </row>
    <row r="57" spans="4:5" hidden="1">
      <c r="D57">
        <v>1.6760525610083128</v>
      </c>
      <c r="E57" t="s">
        <v>936</v>
      </c>
    </row>
    <row r="58" spans="4:5" hidden="1">
      <c r="D58">
        <v>1.6708437761069339</v>
      </c>
      <c r="E58" t="s">
        <v>936</v>
      </c>
    </row>
    <row r="59" spans="4:5" hidden="1">
      <c r="D59">
        <v>1.6692807528568228</v>
      </c>
      <c r="E59" t="s">
        <v>936</v>
      </c>
    </row>
    <row r="60" spans="4:5" hidden="1">
      <c r="D60">
        <v>1.6627543035993742</v>
      </c>
      <c r="E60" t="s">
        <v>936</v>
      </c>
    </row>
    <row r="61" spans="4:5" hidden="1">
      <c r="D61">
        <v>1.654327144391591</v>
      </c>
      <c r="E61" t="s">
        <v>936</v>
      </c>
    </row>
    <row r="62" spans="4:5" hidden="1">
      <c r="D62">
        <v>1.6419491525423726</v>
      </c>
      <c r="E62" t="s">
        <v>936</v>
      </c>
    </row>
    <row r="63" spans="4:5" hidden="1">
      <c r="D63">
        <v>1.6289592760180993</v>
      </c>
      <c r="E63" t="s">
        <v>936</v>
      </c>
    </row>
    <row r="64" spans="4:5" hidden="1">
      <c r="D64">
        <v>1.6243183663998144</v>
      </c>
      <c r="E64" t="s">
        <v>936</v>
      </c>
    </row>
    <row r="65" spans="4:5" hidden="1">
      <c r="D65">
        <v>1.6243183663998144</v>
      </c>
      <c r="E65" t="s">
        <v>936</v>
      </c>
    </row>
    <row r="66" spans="4:5" hidden="1">
      <c r="D66">
        <v>1.6243183663998144</v>
      </c>
      <c r="E66" t="s">
        <v>936</v>
      </c>
    </row>
    <row r="67" spans="4:5" hidden="1">
      <c r="D67">
        <v>1.5970392101613822</v>
      </c>
      <c r="E67" t="s">
        <v>936</v>
      </c>
    </row>
    <row r="68" spans="4:5" hidden="1">
      <c r="D68">
        <v>1.5856441195807709</v>
      </c>
      <c r="E68" t="s">
        <v>936</v>
      </c>
    </row>
    <row r="69" spans="4:5" hidden="1">
      <c r="D69">
        <v>1.5784586815227486</v>
      </c>
      <c r="E69" t="s">
        <v>936</v>
      </c>
    </row>
    <row r="70" spans="4:5" hidden="1">
      <c r="D70">
        <v>1.577837346007458</v>
      </c>
      <c r="E70" t="s">
        <v>936</v>
      </c>
    </row>
    <row r="71" spans="4:5" hidden="1">
      <c r="D71">
        <v>1.5682421396488362</v>
      </c>
      <c r="E71" t="s">
        <v>936</v>
      </c>
    </row>
    <row r="72" spans="4:5" hidden="1">
      <c r="D72">
        <v>1.5678689857889827</v>
      </c>
      <c r="E72" t="s">
        <v>999</v>
      </c>
    </row>
    <row r="73" spans="4:5" hidden="1">
      <c r="D73">
        <v>1.5663069961712495</v>
      </c>
      <c r="E73" t="s">
        <v>936</v>
      </c>
    </row>
    <row r="74" spans="4:5" hidden="1">
      <c r="D74">
        <v>1.5527950310559004</v>
      </c>
      <c r="E74" t="s">
        <v>936</v>
      </c>
    </row>
    <row r="75" spans="4:5" hidden="1">
      <c r="D75">
        <v>1.5476190476190474</v>
      </c>
      <c r="E75" t="s">
        <v>936</v>
      </c>
    </row>
    <row r="76" spans="4:5" hidden="1">
      <c r="D76">
        <v>1.5223243293418731</v>
      </c>
      <c r="E76" t="s">
        <v>936</v>
      </c>
    </row>
    <row r="77" spans="4:5" hidden="1">
      <c r="D77">
        <v>1.5166690513664329</v>
      </c>
      <c r="E77" t="s">
        <v>936</v>
      </c>
    </row>
    <row r="78" spans="4:5" hidden="1">
      <c r="D78">
        <v>1.5084006312076488</v>
      </c>
      <c r="E78" t="s">
        <v>936</v>
      </c>
    </row>
    <row r="79" spans="4:5" hidden="1">
      <c r="D79">
        <v>1.499872138204394</v>
      </c>
      <c r="E79" t="s">
        <v>999</v>
      </c>
    </row>
    <row r="80" spans="4:5" hidden="1">
      <c r="D80">
        <v>1.4802631578947367</v>
      </c>
      <c r="E80" t="s">
        <v>936</v>
      </c>
    </row>
    <row r="81" spans="4:5" hidden="1">
      <c r="D81">
        <v>1.4671361502347418</v>
      </c>
      <c r="E81" t="s">
        <v>936</v>
      </c>
    </row>
    <row r="82" spans="4:5" hidden="1">
      <c r="D82">
        <v>1.4650893526559043</v>
      </c>
      <c r="E82" t="s">
        <v>936</v>
      </c>
    </row>
    <row r="83" spans="4:5" hidden="1">
      <c r="D83">
        <v>1.45028425571412</v>
      </c>
      <c r="E83" t="s">
        <v>936</v>
      </c>
    </row>
    <row r="84" spans="4:5" hidden="1">
      <c r="D84">
        <v>1.4357814131569786</v>
      </c>
      <c r="E84" t="s">
        <v>999</v>
      </c>
    </row>
    <row r="85" spans="4:5" hidden="1">
      <c r="D85">
        <v>1.4348370927318295</v>
      </c>
      <c r="E85" t="s">
        <v>936</v>
      </c>
    </row>
    <row r="86" spans="4:5" hidden="1">
      <c r="D86">
        <v>1.4285714285714286</v>
      </c>
      <c r="E86" t="s">
        <v>936</v>
      </c>
    </row>
    <row r="87" spans="4:5" hidden="1">
      <c r="D87">
        <v>1.392757660167131</v>
      </c>
      <c r="E87" t="s">
        <v>936</v>
      </c>
    </row>
    <row r="88" spans="4:5" hidden="1">
      <c r="D88">
        <v>1.3922728854855551</v>
      </c>
      <c r="E88" t="s">
        <v>936</v>
      </c>
    </row>
    <row r="89" spans="4:5" hidden="1">
      <c r="D89">
        <v>1.3911290322580645</v>
      </c>
      <c r="E89" t="s">
        <v>936</v>
      </c>
    </row>
    <row r="90" spans="4:5" hidden="1">
      <c r="D90">
        <v>1.3888888888888888</v>
      </c>
      <c r="E90" t="s">
        <v>936</v>
      </c>
    </row>
    <row r="91" spans="4:5" hidden="1">
      <c r="D91">
        <v>1.3784461152882204</v>
      </c>
      <c r="E91" t="s">
        <v>936</v>
      </c>
    </row>
    <row r="92" spans="4:5" hidden="1">
      <c r="D92">
        <v>1.3693270735524259</v>
      </c>
      <c r="E92" t="s">
        <v>936</v>
      </c>
    </row>
    <row r="93" spans="4:5">
      <c r="D93">
        <v>1.3676588897827835</v>
      </c>
      <c r="E93" t="s">
        <v>2079</v>
      </c>
    </row>
    <row r="94" spans="4:5" hidden="1">
      <c r="D94">
        <v>1.3596138374899436</v>
      </c>
      <c r="E94" t="s">
        <v>936</v>
      </c>
    </row>
    <row r="95" spans="4:5" hidden="1">
      <c r="D95">
        <v>1.3541666666666665</v>
      </c>
      <c r="E95" t="s">
        <v>936</v>
      </c>
    </row>
    <row r="96" spans="4:5" hidden="1">
      <c r="D96">
        <v>1.3537347608144068</v>
      </c>
      <c r="E96" t="s">
        <v>936</v>
      </c>
    </row>
    <row r="97" spans="4:5" hidden="1">
      <c r="D97">
        <v>1.3528138528138527</v>
      </c>
      <c r="E97" t="s">
        <v>936</v>
      </c>
    </row>
    <row r="98" spans="4:5" hidden="1">
      <c r="D98">
        <v>1.3443871835088506</v>
      </c>
      <c r="E98" t="s">
        <v>936</v>
      </c>
    </row>
    <row r="99" spans="4:5" hidden="1">
      <c r="D99">
        <v>1.3443871835088506</v>
      </c>
      <c r="E99" t="s">
        <v>936</v>
      </c>
    </row>
    <row r="100" spans="4:5" hidden="1">
      <c r="D100">
        <v>1.3342615152569903</v>
      </c>
      <c r="E100" t="s">
        <v>936</v>
      </c>
    </row>
    <row r="101" spans="4:5" hidden="1">
      <c r="D101">
        <v>1.3333333333333333</v>
      </c>
      <c r="E101" t="s">
        <v>936</v>
      </c>
    </row>
    <row r="102" spans="4:5">
      <c r="D102">
        <v>1.3294504937958977</v>
      </c>
      <c r="E102" t="s">
        <v>2079</v>
      </c>
    </row>
    <row r="103" spans="4:5" hidden="1">
      <c r="D103">
        <v>1.3223275580254985</v>
      </c>
      <c r="E103" t="s">
        <v>936</v>
      </c>
    </row>
    <row r="104" spans="4:5" hidden="1">
      <c r="D104">
        <v>1.3202181987000932</v>
      </c>
      <c r="E104" t="s">
        <v>936</v>
      </c>
    </row>
    <row r="105" spans="4:5" hidden="1">
      <c r="D105">
        <v>1.3157894736842104</v>
      </c>
      <c r="E105" t="s">
        <v>936</v>
      </c>
    </row>
    <row r="106" spans="4:5" hidden="1">
      <c r="D106">
        <v>1.3095238095238095</v>
      </c>
      <c r="E106" t="s">
        <v>936</v>
      </c>
    </row>
    <row r="107" spans="4:5" hidden="1">
      <c r="D107">
        <v>1.3057103064066853</v>
      </c>
      <c r="E107" t="s">
        <v>936</v>
      </c>
    </row>
    <row r="108" spans="4:5" hidden="1">
      <c r="D108">
        <v>1.305255830142708</v>
      </c>
      <c r="E108" t="s">
        <v>936</v>
      </c>
    </row>
    <row r="109" spans="4:5" hidden="1">
      <c r="D109">
        <v>1.3041210224308817</v>
      </c>
      <c r="E109" t="s">
        <v>936</v>
      </c>
    </row>
    <row r="110" spans="4:5" hidden="1">
      <c r="D110">
        <v>1.2994546931198514</v>
      </c>
      <c r="E110" t="s">
        <v>936</v>
      </c>
    </row>
    <row r="111" spans="4:5">
      <c r="D111">
        <v>1.295264623955432</v>
      </c>
      <c r="E111" t="s">
        <v>2079</v>
      </c>
    </row>
    <row r="112" spans="4:5" hidden="1">
      <c r="D112">
        <v>1.2929548327778415</v>
      </c>
      <c r="E112" t="s">
        <v>936</v>
      </c>
    </row>
    <row r="113" spans="4:5" hidden="1">
      <c r="D113">
        <v>1.2872083668543846</v>
      </c>
      <c r="E113" t="s">
        <v>936</v>
      </c>
    </row>
    <row r="114" spans="4:5" hidden="1">
      <c r="D114">
        <v>1.28526444315918</v>
      </c>
      <c r="E114" t="s">
        <v>936</v>
      </c>
    </row>
    <row r="115" spans="4:5" hidden="1">
      <c r="D115">
        <v>1.2836583101207057</v>
      </c>
      <c r="E115" t="s">
        <v>936</v>
      </c>
    </row>
    <row r="116" spans="4:5" hidden="1">
      <c r="D116">
        <v>1.2833675564681724</v>
      </c>
      <c r="E116" t="s">
        <v>936</v>
      </c>
    </row>
    <row r="117" spans="4:5" hidden="1">
      <c r="D117">
        <v>1.2813370473537604</v>
      </c>
      <c r="E117" t="s">
        <v>936</v>
      </c>
    </row>
    <row r="118" spans="4:5">
      <c r="D118">
        <v>1.2813370473537604</v>
      </c>
      <c r="E118" t="s">
        <v>2079</v>
      </c>
    </row>
    <row r="119" spans="4:5" hidden="1">
      <c r="D119">
        <v>1.2813370473537604</v>
      </c>
      <c r="E119" t="s">
        <v>936</v>
      </c>
    </row>
    <row r="120" spans="4:5" hidden="1">
      <c r="D120">
        <v>1.2813370473537604</v>
      </c>
      <c r="E120" t="s">
        <v>936</v>
      </c>
    </row>
    <row r="121" spans="4:5" hidden="1">
      <c r="D121">
        <v>1.2813370473537604</v>
      </c>
      <c r="E121" t="s">
        <v>936</v>
      </c>
    </row>
    <row r="122" spans="4:5" hidden="1">
      <c r="D122">
        <v>1.2813370473537604</v>
      </c>
      <c r="E122" t="s">
        <v>936</v>
      </c>
    </row>
    <row r="123" spans="4:5">
      <c r="D123">
        <v>1.2802147138246722</v>
      </c>
      <c r="E123" t="s">
        <v>2080</v>
      </c>
    </row>
    <row r="124" spans="4:5" hidden="1">
      <c r="D124">
        <v>1.2776313681291056</v>
      </c>
      <c r="E124" t="s">
        <v>936</v>
      </c>
    </row>
    <row r="125" spans="4:5" hidden="1">
      <c r="D125">
        <v>1.2715179968701096</v>
      </c>
      <c r="E125" t="s">
        <v>936</v>
      </c>
    </row>
    <row r="126" spans="4:5" hidden="1">
      <c r="D126">
        <v>1.2698412698412698</v>
      </c>
      <c r="E126" t="s">
        <v>936</v>
      </c>
    </row>
    <row r="127" spans="4:5" hidden="1">
      <c r="D127">
        <v>1.2696990066472478</v>
      </c>
      <c r="E127" t="s">
        <v>936</v>
      </c>
    </row>
    <row r="128" spans="4:5" hidden="1">
      <c r="D128">
        <v>1.2696214219759925</v>
      </c>
      <c r="E128" t="s">
        <v>936</v>
      </c>
    </row>
    <row r="129" spans="4:5" hidden="1">
      <c r="D129">
        <v>1.268796992481203</v>
      </c>
      <c r="E129" t="s">
        <v>936</v>
      </c>
    </row>
    <row r="130" spans="4:5" hidden="1">
      <c r="D130">
        <v>1.2674094707520891</v>
      </c>
      <c r="E130" t="s">
        <v>936</v>
      </c>
    </row>
    <row r="131" spans="4:5" hidden="1">
      <c r="D131">
        <v>1.2674094707520891</v>
      </c>
      <c r="E131" t="s">
        <v>936</v>
      </c>
    </row>
    <row r="132" spans="4:5" hidden="1">
      <c r="D132">
        <v>1.2603660793706042</v>
      </c>
      <c r="E132" t="s">
        <v>936</v>
      </c>
    </row>
    <row r="133" spans="4:5" hidden="1">
      <c r="D133">
        <v>1.2602935911206588</v>
      </c>
      <c r="E133" t="s">
        <v>936</v>
      </c>
    </row>
    <row r="134" spans="4:5" hidden="1">
      <c r="D134">
        <v>1.253690027648044</v>
      </c>
      <c r="E134" t="s">
        <v>936</v>
      </c>
    </row>
    <row r="135" spans="4:5" hidden="1">
      <c r="D135">
        <v>1.2531328320802004</v>
      </c>
      <c r="E135" t="s">
        <v>936</v>
      </c>
    </row>
    <row r="136" spans="4:5" hidden="1">
      <c r="D136">
        <v>1.2531328320802004</v>
      </c>
      <c r="E136" t="s">
        <v>936</v>
      </c>
    </row>
    <row r="137" spans="4:5" hidden="1">
      <c r="D137">
        <v>1.2531328320802004</v>
      </c>
      <c r="E137" t="s">
        <v>936</v>
      </c>
    </row>
    <row r="138" spans="4:5" hidden="1">
      <c r="D138">
        <v>1.2531328320802004</v>
      </c>
      <c r="E138" t="s">
        <v>936</v>
      </c>
    </row>
    <row r="139" spans="4:5" hidden="1">
      <c r="D139">
        <v>1.2531328320802004</v>
      </c>
      <c r="E139" t="s">
        <v>936</v>
      </c>
    </row>
    <row r="140" spans="4:5" hidden="1">
      <c r="D140">
        <v>1.2531328320802004</v>
      </c>
      <c r="E140" t="s">
        <v>936</v>
      </c>
    </row>
    <row r="141" spans="4:5" hidden="1">
      <c r="D141">
        <v>1.2519561815336464</v>
      </c>
      <c r="E141" t="s">
        <v>936</v>
      </c>
    </row>
    <row r="142" spans="4:5" hidden="1">
      <c r="D142">
        <v>1.2512256323808093</v>
      </c>
      <c r="E142" t="s">
        <v>936</v>
      </c>
    </row>
    <row r="143" spans="4:5" hidden="1">
      <c r="D143">
        <v>1.2512256323808093</v>
      </c>
      <c r="E143" t="s">
        <v>936</v>
      </c>
    </row>
  </sheetData>
  <autoFilter ref="D4:E143" xr:uid="{00000000-0009-0000-0000-000004000000}">
    <filterColumn colId="1">
      <filters>
        <filter val="2019년 예산"/>
        <filter val="소용량"/>
      </filters>
    </filterColumn>
  </autoFilter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3:E33"/>
  <sheetViews>
    <sheetView workbookViewId="0">
      <selection activeCell="A3" sqref="A3"/>
    </sheetView>
  </sheetViews>
  <sheetFormatPr defaultRowHeight="16.5"/>
  <cols>
    <col min="1" max="1" width="28.25" bestFit="1" customWidth="1"/>
    <col min="2" max="2" width="8.75" customWidth="1"/>
    <col min="4" max="4" width="23.125" customWidth="1"/>
    <col min="5" max="5" width="22" customWidth="1"/>
  </cols>
  <sheetData>
    <row r="3" spans="1:2">
      <c r="A3" s="33" t="s">
        <v>2084</v>
      </c>
      <c r="B3" t="s">
        <v>2096</v>
      </c>
    </row>
    <row r="4" spans="1:2">
      <c r="A4" s="34" t="s">
        <v>2085</v>
      </c>
      <c r="B4" s="1">
        <v>1</v>
      </c>
    </row>
    <row r="5" spans="1:2">
      <c r="A5" s="34" t="s">
        <v>999</v>
      </c>
      <c r="B5" s="1">
        <v>7</v>
      </c>
    </row>
    <row r="6" spans="1:2">
      <c r="A6" s="34" t="s">
        <v>2086</v>
      </c>
      <c r="B6" s="1">
        <v>2</v>
      </c>
    </row>
    <row r="7" spans="1:2">
      <c r="A7" s="34" t="s">
        <v>2087</v>
      </c>
      <c r="B7" s="1">
        <v>5</v>
      </c>
    </row>
    <row r="8" spans="1:2">
      <c r="A8" s="34" t="s">
        <v>2088</v>
      </c>
      <c r="B8" s="1">
        <v>1</v>
      </c>
    </row>
    <row r="9" spans="1:2">
      <c r="A9" s="34" t="s">
        <v>2089</v>
      </c>
      <c r="B9" s="1">
        <v>1</v>
      </c>
    </row>
    <row r="10" spans="1:2">
      <c r="A10" s="34" t="s">
        <v>2090</v>
      </c>
      <c r="B10" s="1">
        <v>1</v>
      </c>
    </row>
    <row r="11" spans="1:2">
      <c r="A11" s="34" t="s">
        <v>2091</v>
      </c>
      <c r="B11" s="1">
        <v>15</v>
      </c>
    </row>
    <row r="12" spans="1:2">
      <c r="A12" s="34" t="s">
        <v>2092</v>
      </c>
      <c r="B12" s="1">
        <v>21</v>
      </c>
    </row>
    <row r="13" spans="1:2">
      <c r="A13" s="34" t="s">
        <v>2061</v>
      </c>
      <c r="B13" s="1">
        <v>9</v>
      </c>
    </row>
    <row r="14" spans="1:2">
      <c r="A14" s="34" t="s">
        <v>2093</v>
      </c>
      <c r="B14" s="1">
        <v>2</v>
      </c>
    </row>
    <row r="15" spans="1:2">
      <c r="A15" s="34" t="s">
        <v>2094</v>
      </c>
      <c r="B15" s="1">
        <v>19</v>
      </c>
    </row>
    <row r="16" spans="1:2">
      <c r="A16" s="34" t="s">
        <v>1070</v>
      </c>
      <c r="B16" s="1">
        <v>8</v>
      </c>
    </row>
    <row r="17" spans="1:5">
      <c r="A17" s="34" t="s">
        <v>2095</v>
      </c>
      <c r="B17" s="1">
        <v>92</v>
      </c>
    </row>
    <row r="20" spans="1:5">
      <c r="D20" t="s">
        <v>2097</v>
      </c>
      <c r="E20" t="s">
        <v>2098</v>
      </c>
    </row>
    <row r="21" spans="1:5">
      <c r="D21" s="34"/>
      <c r="E21" s="1"/>
    </row>
    <row r="22" spans="1:5">
      <c r="D22" s="34"/>
      <c r="E22" s="1"/>
    </row>
    <row r="23" spans="1:5">
      <c r="D23" s="34"/>
      <c r="E23" s="1"/>
    </row>
    <row r="24" spans="1:5">
      <c r="D24" s="34" t="s">
        <v>2061</v>
      </c>
      <c r="E24" s="1">
        <v>9</v>
      </c>
    </row>
    <row r="25" spans="1:5">
      <c r="D25" s="34"/>
      <c r="E25" s="1"/>
    </row>
    <row r="26" spans="1:5">
      <c r="D26" s="34"/>
      <c r="E26" s="1"/>
    </row>
    <row r="27" spans="1:5">
      <c r="D27" s="34"/>
      <c r="E27" s="1"/>
    </row>
    <row r="28" spans="1:5">
      <c r="D28" s="34" t="s">
        <v>2086</v>
      </c>
      <c r="E28" s="1">
        <v>2</v>
      </c>
    </row>
    <row r="29" spans="1:5">
      <c r="D29" s="34" t="s">
        <v>2093</v>
      </c>
      <c r="E29" s="1">
        <v>2</v>
      </c>
    </row>
    <row r="30" spans="1:5">
      <c r="D30" s="34"/>
      <c r="E30" s="1"/>
    </row>
    <row r="31" spans="1:5">
      <c r="D31" s="34" t="s">
        <v>2088</v>
      </c>
      <c r="E31" s="1">
        <v>1</v>
      </c>
    </row>
    <row r="32" spans="1:5">
      <c r="D32" s="34"/>
      <c r="E32" s="1"/>
    </row>
    <row r="33" spans="4:5">
      <c r="D33" s="34"/>
      <c r="E33" s="1"/>
    </row>
  </sheetData>
  <autoFilter ref="A20:E20" xr:uid="{00000000-0009-0000-0000-000005000000}">
    <sortState xmlns:xlrd2="http://schemas.microsoft.com/office/spreadsheetml/2017/richdata2" ref="D21:E33">
      <sortCondition descending="1" ref="E20"/>
    </sortState>
  </autoFilter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D4:D97"/>
  <sheetViews>
    <sheetView topLeftCell="A5" workbookViewId="0">
      <selection activeCell="A3" sqref="A3"/>
    </sheetView>
  </sheetViews>
  <sheetFormatPr defaultRowHeight="16.5"/>
  <cols>
    <col min="4" max="4" width="37.5" customWidth="1"/>
  </cols>
  <sheetData>
    <row r="4" spans="4:4" ht="15.75" customHeight="1"/>
    <row r="5" spans="4:4">
      <c r="D5" t="s">
        <v>2083</v>
      </c>
    </row>
    <row r="6" spans="4:4">
      <c r="D6" s="6" t="s">
        <v>1352</v>
      </c>
    </row>
    <row r="7" spans="4:4">
      <c r="D7" s="6" t="s">
        <v>1070</v>
      </c>
    </row>
    <row r="8" spans="4:4">
      <c r="D8" s="6" t="s">
        <v>1070</v>
      </c>
    </row>
    <row r="9" spans="4:4">
      <c r="D9" s="6" t="s">
        <v>1070</v>
      </c>
    </row>
    <row r="10" spans="4:4">
      <c r="D10" s="6" t="s">
        <v>1070</v>
      </c>
    </row>
    <row r="11" spans="4:4">
      <c r="D11" s="6" t="s">
        <v>1352</v>
      </c>
    </row>
    <row r="12" spans="4:4">
      <c r="D12" s="6" t="s">
        <v>1352</v>
      </c>
    </row>
    <row r="13" spans="4:4">
      <c r="D13" s="6" t="s">
        <v>1352</v>
      </c>
    </row>
    <row r="14" spans="4:4">
      <c r="D14" s="6" t="s">
        <v>2076</v>
      </c>
    </row>
    <row r="15" spans="4:4">
      <c r="D15" s="6" t="s">
        <v>2076</v>
      </c>
    </row>
    <row r="16" spans="4:4">
      <c r="D16" s="6" t="s">
        <v>2076</v>
      </c>
    </row>
    <row r="17" spans="4:4">
      <c r="D17" s="6" t="s">
        <v>2076</v>
      </c>
    </row>
    <row r="18" spans="4:4">
      <c r="D18" s="6" t="s">
        <v>2076</v>
      </c>
    </row>
    <row r="19" spans="4:4">
      <c r="D19" s="6" t="s">
        <v>2076</v>
      </c>
    </row>
    <row r="20" spans="4:4">
      <c r="D20" s="6" t="s">
        <v>2076</v>
      </c>
    </row>
    <row r="21" spans="4:4">
      <c r="D21" s="6" t="s">
        <v>2076</v>
      </c>
    </row>
    <row r="22" spans="4:4">
      <c r="D22" s="6" t="s">
        <v>2076</v>
      </c>
    </row>
    <row r="23" spans="4:4">
      <c r="D23" s="6" t="s">
        <v>2076</v>
      </c>
    </row>
    <row r="24" spans="4:4">
      <c r="D24" s="6" t="s">
        <v>2076</v>
      </c>
    </row>
    <row r="25" spans="4:4">
      <c r="D25" s="6" t="s">
        <v>2076</v>
      </c>
    </row>
    <row r="26" spans="4:4">
      <c r="D26" s="6" t="s">
        <v>2076</v>
      </c>
    </row>
    <row r="27" spans="4:4">
      <c r="D27" s="6" t="s">
        <v>2076</v>
      </c>
    </row>
    <row r="28" spans="4:4">
      <c r="D28" s="6" t="s">
        <v>2076</v>
      </c>
    </row>
    <row r="29" spans="4:4">
      <c r="D29" s="6" t="s">
        <v>2076</v>
      </c>
    </row>
    <row r="30" spans="4:4">
      <c r="D30" s="6" t="s">
        <v>2076</v>
      </c>
    </row>
    <row r="31" spans="4:4">
      <c r="D31" s="6" t="s">
        <v>2076</v>
      </c>
    </row>
    <row r="32" spans="4:4">
      <c r="D32" s="6" t="s">
        <v>2076</v>
      </c>
    </row>
    <row r="33" spans="4:4">
      <c r="D33" s="6" t="s">
        <v>2064</v>
      </c>
    </row>
    <row r="34" spans="4:4">
      <c r="D34" s="6" t="s">
        <v>2064</v>
      </c>
    </row>
    <row r="35" spans="4:4">
      <c r="D35" s="6" t="s">
        <v>2061</v>
      </c>
    </row>
    <row r="36" spans="4:4">
      <c r="D36" s="6" t="s">
        <v>2061</v>
      </c>
    </row>
    <row r="37" spans="4:4">
      <c r="D37" s="6" t="s">
        <v>2061</v>
      </c>
    </row>
    <row r="38" spans="4:4">
      <c r="D38" s="6" t="s">
        <v>2061</v>
      </c>
    </row>
    <row r="39" spans="4:4">
      <c r="D39" s="6" t="s">
        <v>2061</v>
      </c>
    </row>
    <row r="40" spans="4:4">
      <c r="D40" s="6" t="s">
        <v>2061</v>
      </c>
    </row>
    <row r="41" spans="4:4">
      <c r="D41" s="6" t="s">
        <v>2061</v>
      </c>
    </row>
    <row r="42" spans="4:4">
      <c r="D42" s="6" t="s">
        <v>2061</v>
      </c>
    </row>
    <row r="43" spans="4:4">
      <c r="D43" s="6" t="s">
        <v>2061</v>
      </c>
    </row>
    <row r="44" spans="4:4">
      <c r="D44" s="6" t="s">
        <v>1053</v>
      </c>
    </row>
    <row r="45" spans="4:4">
      <c r="D45" s="6" t="s">
        <v>1053</v>
      </c>
    </row>
    <row r="46" spans="4:4">
      <c r="D46" s="6" t="s">
        <v>1053</v>
      </c>
    </row>
    <row r="47" spans="4:4">
      <c r="D47" s="6" t="s">
        <v>1053</v>
      </c>
    </row>
    <row r="48" spans="4:4">
      <c r="D48" s="6" t="s">
        <v>1053</v>
      </c>
    </row>
    <row r="49" spans="4:4">
      <c r="D49" s="6" t="s">
        <v>1053</v>
      </c>
    </row>
    <row r="50" spans="4:4">
      <c r="D50" s="6" t="s">
        <v>1053</v>
      </c>
    </row>
    <row r="51" spans="4:4">
      <c r="D51" s="6" t="s">
        <v>1053</v>
      </c>
    </row>
    <row r="52" spans="4:4">
      <c r="D52" s="6" t="s">
        <v>1053</v>
      </c>
    </row>
    <row r="53" spans="4:4">
      <c r="D53" s="6" t="s">
        <v>1053</v>
      </c>
    </row>
    <row r="54" spans="4:4">
      <c r="D54" s="6" t="s">
        <v>1053</v>
      </c>
    </row>
    <row r="55" spans="4:4">
      <c r="D55" s="6" t="s">
        <v>1053</v>
      </c>
    </row>
    <row r="56" spans="4:4">
      <c r="D56" s="6" t="s">
        <v>1053</v>
      </c>
    </row>
    <row r="57" spans="4:4">
      <c r="D57" s="6" t="s">
        <v>1053</v>
      </c>
    </row>
    <row r="58" spans="4:4">
      <c r="D58" s="6" t="s">
        <v>1053</v>
      </c>
    </row>
    <row r="59" spans="4:4">
      <c r="D59" s="6" t="s">
        <v>1053</v>
      </c>
    </row>
    <row r="60" spans="4:4">
      <c r="D60" s="6" t="s">
        <v>1053</v>
      </c>
    </row>
    <row r="61" spans="4:4">
      <c r="D61" s="6" t="s">
        <v>1053</v>
      </c>
    </row>
    <row r="62" spans="4:4">
      <c r="D62" s="6" t="s">
        <v>1053</v>
      </c>
    </row>
    <row r="63" spans="4:4">
      <c r="D63" s="6" t="s">
        <v>1053</v>
      </c>
    </row>
    <row r="64" spans="4:4">
      <c r="D64" s="6" t="s">
        <v>1053</v>
      </c>
    </row>
    <row r="65" spans="4:4">
      <c r="D65" s="6" t="s">
        <v>946</v>
      </c>
    </row>
    <row r="66" spans="4:4">
      <c r="D66" s="6" t="s">
        <v>946</v>
      </c>
    </row>
    <row r="67" spans="4:4">
      <c r="D67" s="6" t="s">
        <v>946</v>
      </c>
    </row>
    <row r="68" spans="4:4">
      <c r="D68" s="6" t="s">
        <v>946</v>
      </c>
    </row>
    <row r="69" spans="4:4">
      <c r="D69" s="6" t="s">
        <v>946</v>
      </c>
    </row>
    <row r="70" spans="4:4">
      <c r="D70" s="6" t="s">
        <v>946</v>
      </c>
    </row>
    <row r="71" spans="4:4">
      <c r="D71" s="6" t="s">
        <v>946</v>
      </c>
    </row>
    <row r="72" spans="4:4">
      <c r="D72" s="6" t="s">
        <v>946</v>
      </c>
    </row>
    <row r="73" spans="4:4">
      <c r="D73" s="6" t="s">
        <v>946</v>
      </c>
    </row>
    <row r="74" spans="4:4">
      <c r="D74" s="6" t="s">
        <v>946</v>
      </c>
    </row>
    <row r="75" spans="4:4">
      <c r="D75" s="6" t="s">
        <v>946</v>
      </c>
    </row>
    <row r="76" spans="4:4">
      <c r="D76" s="6" t="s">
        <v>946</v>
      </c>
    </row>
    <row r="77" spans="4:4">
      <c r="D77" s="6" t="s">
        <v>946</v>
      </c>
    </row>
    <row r="78" spans="4:4">
      <c r="D78" s="6" t="s">
        <v>946</v>
      </c>
    </row>
    <row r="79" spans="4:4">
      <c r="D79" s="6" t="s">
        <v>946</v>
      </c>
    </row>
    <row r="80" spans="4:4">
      <c r="D80" s="6" t="s">
        <v>2069</v>
      </c>
    </row>
    <row r="81" spans="4:4">
      <c r="D81" s="6" t="s">
        <v>1750</v>
      </c>
    </row>
    <row r="82" spans="4:4">
      <c r="D82" s="6" t="s">
        <v>2067</v>
      </c>
    </row>
    <row r="83" spans="4:4">
      <c r="D83" s="6" t="s">
        <v>2068</v>
      </c>
    </row>
    <row r="84" spans="4:4">
      <c r="D84" s="6" t="s">
        <v>2068</v>
      </c>
    </row>
    <row r="85" spans="4:4">
      <c r="D85" s="6" t="s">
        <v>2068</v>
      </c>
    </row>
    <row r="86" spans="4:4">
      <c r="D86" s="6" t="s">
        <v>2068</v>
      </c>
    </row>
    <row r="87" spans="4:4">
      <c r="D87" s="6" t="s">
        <v>2068</v>
      </c>
    </row>
    <row r="88" spans="4:4">
      <c r="D88" s="6" t="s">
        <v>2066</v>
      </c>
    </row>
    <row r="89" spans="4:4">
      <c r="D89" s="6" t="s">
        <v>2066</v>
      </c>
    </row>
    <row r="90" spans="4:4">
      <c r="D90" s="6" t="s">
        <v>1001</v>
      </c>
    </row>
    <row r="91" spans="4:4">
      <c r="D91" s="6" t="s">
        <v>1001</v>
      </c>
    </row>
    <row r="92" spans="4:4">
      <c r="D92" s="18" t="s">
        <v>999</v>
      </c>
    </row>
    <row r="93" spans="4:4">
      <c r="D93" s="18" t="s">
        <v>999</v>
      </c>
    </row>
    <row r="94" spans="4:4">
      <c r="D94" s="18" t="s">
        <v>999</v>
      </c>
    </row>
    <row r="95" spans="4:4">
      <c r="D95" s="6" t="s">
        <v>1001</v>
      </c>
    </row>
    <row r="96" spans="4:4">
      <c r="D96" s="6" t="s">
        <v>1001</v>
      </c>
    </row>
    <row r="97" spans="4:4">
      <c r="D97" s="6" t="s">
        <v>2065</v>
      </c>
    </row>
  </sheetData>
  <autoFilter ref="D5:D97" xr:uid="{00000000-0009-0000-0000-000006000000}">
    <sortState xmlns:xlrd2="http://schemas.microsoft.com/office/spreadsheetml/2017/richdata2" ref="D6:D97">
      <sortCondition descending="1" ref="D5:D97"/>
    </sortState>
  </autoFilter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 filterMode="1"/>
  <dimension ref="F2:L160"/>
  <sheetViews>
    <sheetView workbookViewId="0">
      <selection activeCell="A3" sqref="A3"/>
    </sheetView>
  </sheetViews>
  <sheetFormatPr defaultRowHeight="16.5"/>
  <cols>
    <col min="6" max="6" width="26.125" customWidth="1"/>
  </cols>
  <sheetData>
    <row r="2" spans="6:6">
      <c r="F2" t="s">
        <v>2099</v>
      </c>
    </row>
    <row r="3" spans="6:6">
      <c r="F3" s="16" t="s">
        <v>1034</v>
      </c>
    </row>
    <row r="4" spans="6:6" hidden="1">
      <c r="F4" s="16"/>
    </row>
    <row r="5" spans="6:6" hidden="1">
      <c r="F5" s="16"/>
    </row>
    <row r="6" spans="6:6" hidden="1">
      <c r="F6" s="16"/>
    </row>
    <row r="7" spans="6:6" hidden="1">
      <c r="F7" s="16"/>
    </row>
    <row r="8" spans="6:6" hidden="1">
      <c r="F8" s="16"/>
    </row>
    <row r="9" spans="6:6">
      <c r="F9" s="16" t="s">
        <v>1034</v>
      </c>
    </row>
    <row r="10" spans="6:6" hidden="1">
      <c r="F10" s="16"/>
    </row>
    <row r="11" spans="6:6" hidden="1">
      <c r="F11" s="16"/>
    </row>
    <row r="12" spans="6:6" hidden="1">
      <c r="F12" s="16"/>
    </row>
    <row r="13" spans="6:6">
      <c r="F13" s="16" t="s">
        <v>1034</v>
      </c>
    </row>
    <row r="14" spans="6:6" hidden="1">
      <c r="F14" s="16"/>
    </row>
    <row r="15" spans="6:6" hidden="1">
      <c r="F15" s="16"/>
    </row>
    <row r="16" spans="6:6" hidden="1">
      <c r="F16" s="16"/>
    </row>
    <row r="17" spans="6:6" hidden="1">
      <c r="F17" s="16"/>
    </row>
    <row r="18" spans="6:6" hidden="1">
      <c r="F18" s="16" t="s">
        <v>1204</v>
      </c>
    </row>
    <row r="19" spans="6:6" hidden="1">
      <c r="F19" s="16"/>
    </row>
    <row r="20" spans="6:6" hidden="1">
      <c r="F20" s="16"/>
    </row>
    <row r="21" spans="6:6" hidden="1">
      <c r="F21" s="16"/>
    </row>
    <row r="22" spans="6:6" hidden="1">
      <c r="F22" s="16"/>
    </row>
    <row r="23" spans="6:6" hidden="1">
      <c r="F23" s="16"/>
    </row>
    <row r="24" spans="6:6" hidden="1">
      <c r="F24" s="16"/>
    </row>
    <row r="25" spans="6:6" hidden="1">
      <c r="F25" s="16"/>
    </row>
    <row r="26" spans="6:6">
      <c r="F26" s="16" t="s">
        <v>1034</v>
      </c>
    </row>
    <row r="27" spans="6:6" hidden="1">
      <c r="F27" s="16"/>
    </row>
    <row r="28" spans="6:6" hidden="1">
      <c r="F28" s="16"/>
    </row>
    <row r="29" spans="6:6" hidden="1">
      <c r="F29" s="16"/>
    </row>
    <row r="30" spans="6:6" hidden="1">
      <c r="F30" s="16"/>
    </row>
    <row r="31" spans="6:6" hidden="1">
      <c r="F31" s="16"/>
    </row>
    <row r="32" spans="6:6" hidden="1">
      <c r="F32" s="16"/>
    </row>
    <row r="33" spans="6:6" hidden="1">
      <c r="F33" s="16"/>
    </row>
    <row r="34" spans="6:6" hidden="1">
      <c r="F34" s="16"/>
    </row>
    <row r="35" spans="6:6" hidden="1">
      <c r="F35" s="16"/>
    </row>
    <row r="36" spans="6:6" hidden="1">
      <c r="F36" s="16"/>
    </row>
    <row r="37" spans="6:6" hidden="1">
      <c r="F37" s="16"/>
    </row>
    <row r="38" spans="6:6" hidden="1">
      <c r="F38" s="16"/>
    </row>
    <row r="39" spans="6:6" hidden="1">
      <c r="F39" s="16"/>
    </row>
    <row r="40" spans="6:6" hidden="1">
      <c r="F40" s="16"/>
    </row>
    <row r="41" spans="6:6" hidden="1">
      <c r="F41" s="16"/>
    </row>
    <row r="42" spans="6:6" hidden="1">
      <c r="F42" s="16"/>
    </row>
    <row r="43" spans="6:6" hidden="1">
      <c r="F43" s="16"/>
    </row>
    <row r="44" spans="6:6" hidden="1">
      <c r="F44" s="16"/>
    </row>
    <row r="45" spans="6:6" hidden="1">
      <c r="F45" s="16"/>
    </row>
    <row r="46" spans="6:6" hidden="1">
      <c r="F46" s="16"/>
    </row>
    <row r="47" spans="6:6" hidden="1">
      <c r="F47" s="16"/>
    </row>
    <row r="48" spans="6:6" hidden="1">
      <c r="F48" s="16"/>
    </row>
    <row r="49" spans="6:6">
      <c r="F49" s="16" t="s">
        <v>1034</v>
      </c>
    </row>
    <row r="50" spans="6:6" hidden="1">
      <c r="F50" s="16"/>
    </row>
    <row r="51" spans="6:6" hidden="1">
      <c r="F51" s="16"/>
    </row>
    <row r="52" spans="6:6" hidden="1">
      <c r="F52" s="16"/>
    </row>
    <row r="53" spans="6:6" hidden="1">
      <c r="F53" s="16"/>
    </row>
    <row r="54" spans="6:6" hidden="1">
      <c r="F54" s="16"/>
    </row>
    <row r="55" spans="6:6" hidden="1">
      <c r="F55" s="16"/>
    </row>
    <row r="56" spans="6:6" hidden="1">
      <c r="F56" s="16"/>
    </row>
    <row r="57" spans="6:6" hidden="1">
      <c r="F57" s="16"/>
    </row>
    <row r="58" spans="6:6" hidden="1">
      <c r="F58" s="16"/>
    </row>
    <row r="59" spans="6:6" hidden="1">
      <c r="F59" s="16"/>
    </row>
    <row r="60" spans="6:6" hidden="1">
      <c r="F60" s="16"/>
    </row>
    <row r="61" spans="6:6">
      <c r="F61" s="16" t="s">
        <v>1034</v>
      </c>
    </row>
    <row r="62" spans="6:6" hidden="1">
      <c r="F62" s="16"/>
    </row>
    <row r="63" spans="6:6" hidden="1">
      <c r="F63" s="16"/>
    </row>
    <row r="64" spans="6:6" hidden="1">
      <c r="F64" s="16"/>
    </row>
    <row r="65" spans="6:6" hidden="1">
      <c r="F65" s="16"/>
    </row>
    <row r="66" spans="6:6" hidden="1">
      <c r="F66" s="16" t="s">
        <v>2077</v>
      </c>
    </row>
    <row r="67" spans="6:6" hidden="1">
      <c r="F67" s="16"/>
    </row>
    <row r="68" spans="6:6" hidden="1">
      <c r="F68" s="16"/>
    </row>
    <row r="69" spans="6:6" hidden="1">
      <c r="F69" s="16"/>
    </row>
    <row r="70" spans="6:6" hidden="1">
      <c r="F70" s="16"/>
    </row>
    <row r="71" spans="6:6" hidden="1">
      <c r="F71" s="16"/>
    </row>
    <row r="72" spans="6:6" hidden="1">
      <c r="F72" s="16"/>
    </row>
    <row r="73" spans="6:6">
      <c r="F73" s="16" t="s">
        <v>1034</v>
      </c>
    </row>
    <row r="74" spans="6:6" hidden="1">
      <c r="F74" s="16"/>
    </row>
    <row r="75" spans="6:6" hidden="1">
      <c r="F75" s="16"/>
    </row>
    <row r="76" spans="6:6" hidden="1">
      <c r="F76" s="16"/>
    </row>
    <row r="77" spans="6:6">
      <c r="F77" s="16" t="s">
        <v>1034</v>
      </c>
    </row>
    <row r="78" spans="6:6" hidden="1">
      <c r="F78" s="16"/>
    </row>
    <row r="79" spans="6:6" hidden="1">
      <c r="F79" s="16"/>
    </row>
    <row r="80" spans="6:6" hidden="1">
      <c r="F80" s="16"/>
    </row>
    <row r="81" spans="6:12" hidden="1">
      <c r="F81" s="16"/>
    </row>
    <row r="82" spans="6:12" hidden="1">
      <c r="F82" s="16"/>
    </row>
    <row r="83" spans="6:12">
      <c r="F83" s="16" t="s">
        <v>1034</v>
      </c>
    </row>
    <row r="84" spans="6:12" hidden="1">
      <c r="F84" s="16"/>
    </row>
    <row r="85" spans="6:12" hidden="1">
      <c r="F85" s="16"/>
    </row>
    <row r="86" spans="6:12" hidden="1">
      <c r="F86" s="16"/>
    </row>
    <row r="87" spans="6:12" hidden="1">
      <c r="F87" s="16" t="s">
        <v>1204</v>
      </c>
    </row>
    <row r="88" spans="6:12" hidden="1">
      <c r="F88" s="16"/>
    </row>
    <row r="89" spans="6:12" hidden="1">
      <c r="F89" s="16"/>
    </row>
    <row r="90" spans="6:12" hidden="1">
      <c r="F90" s="16"/>
    </row>
    <row r="91" spans="6:12" hidden="1">
      <c r="F91" s="16"/>
    </row>
    <row r="92" spans="6:12" hidden="1">
      <c r="F92" s="16"/>
    </row>
    <row r="93" spans="6:12" hidden="1">
      <c r="F93" s="16"/>
    </row>
    <row r="94" spans="6:12" hidden="1">
      <c r="F94" s="16"/>
      <c r="L94">
        <v>109</v>
      </c>
    </row>
    <row r="95" spans="6:12" hidden="1">
      <c r="F95" s="16"/>
    </row>
    <row r="96" spans="6:12" hidden="1">
      <c r="F96" s="16"/>
    </row>
    <row r="97" spans="6:12" hidden="1">
      <c r="F97" s="16"/>
    </row>
    <row r="98" spans="6:12" hidden="1">
      <c r="F98" s="16"/>
    </row>
    <row r="99" spans="6:12" hidden="1">
      <c r="F99" s="16"/>
    </row>
    <row r="100" spans="6:12" hidden="1">
      <c r="F100" s="16"/>
    </row>
    <row r="101" spans="6:12" hidden="1">
      <c r="F101" s="16"/>
      <c r="L101">
        <v>8</v>
      </c>
    </row>
    <row r="102" spans="6:12" hidden="1">
      <c r="F102" s="16"/>
    </row>
    <row r="103" spans="6:12" hidden="1">
      <c r="F103" s="16"/>
    </row>
    <row r="104" spans="6:12" hidden="1">
      <c r="F104" s="16"/>
    </row>
    <row r="105" spans="6:12" hidden="1">
      <c r="F105" s="16"/>
    </row>
    <row r="106" spans="6:12" hidden="1">
      <c r="F106" s="16"/>
    </row>
    <row r="107" spans="6:12" hidden="1">
      <c r="F107" s="16"/>
    </row>
    <row r="108" spans="6:12" hidden="1">
      <c r="F108" s="16"/>
    </row>
    <row r="109" spans="6:12">
      <c r="F109" s="16" t="s">
        <v>1034</v>
      </c>
    </row>
    <row r="110" spans="6:12" hidden="1">
      <c r="F110" s="16"/>
    </row>
    <row r="111" spans="6:12" hidden="1">
      <c r="F111" s="16"/>
    </row>
    <row r="112" spans="6:12">
      <c r="F112" s="16" t="s">
        <v>1034</v>
      </c>
    </row>
    <row r="113" spans="6:6" hidden="1">
      <c r="F113" s="16"/>
    </row>
    <row r="114" spans="6:6" hidden="1">
      <c r="F114" s="16"/>
    </row>
    <row r="115" spans="6:6" hidden="1">
      <c r="F115" s="16"/>
    </row>
    <row r="116" spans="6:6" hidden="1">
      <c r="F116" s="16"/>
    </row>
    <row r="117" spans="6:6" hidden="1">
      <c r="F117" s="16"/>
    </row>
    <row r="118" spans="6:6" hidden="1">
      <c r="F118" s="16"/>
    </row>
    <row r="119" spans="6:6" hidden="1">
      <c r="F119" s="16"/>
    </row>
    <row r="120" spans="6:6" hidden="1">
      <c r="F120" s="16"/>
    </row>
    <row r="121" spans="6:6" hidden="1">
      <c r="F121" s="16"/>
    </row>
    <row r="122" spans="6:6" hidden="1">
      <c r="F122" s="16"/>
    </row>
    <row r="123" spans="6:6" hidden="1">
      <c r="F123" s="16"/>
    </row>
    <row r="124" spans="6:6" hidden="1">
      <c r="F124" s="16"/>
    </row>
    <row r="125" spans="6:6" hidden="1">
      <c r="F125" s="16"/>
    </row>
    <row r="126" spans="6:6" hidden="1">
      <c r="F126" s="16"/>
    </row>
    <row r="127" spans="6:6" hidden="1">
      <c r="F127" s="16"/>
    </row>
    <row r="128" spans="6:6" hidden="1">
      <c r="F128" s="16"/>
    </row>
    <row r="129" spans="6:12">
      <c r="F129" s="16" t="s">
        <v>1034</v>
      </c>
    </row>
    <row r="130" spans="6:12" hidden="1">
      <c r="F130" s="16"/>
    </row>
    <row r="131" spans="6:12">
      <c r="F131" s="16" t="s">
        <v>1034</v>
      </c>
    </row>
    <row r="132" spans="6:12" hidden="1">
      <c r="F132" s="16"/>
    </row>
    <row r="133" spans="6:12">
      <c r="F133" s="16" t="s">
        <v>1034</v>
      </c>
    </row>
    <row r="134" spans="6:12" hidden="1">
      <c r="F134" s="16"/>
    </row>
    <row r="135" spans="6:12" hidden="1">
      <c r="F135" s="16"/>
    </row>
    <row r="136" spans="6:12" hidden="1">
      <c r="F136" s="16"/>
    </row>
    <row r="137" spans="6:12" hidden="1">
      <c r="F137" s="17"/>
    </row>
    <row r="138" spans="6:12" hidden="1">
      <c r="F138" s="16"/>
    </row>
    <row r="139" spans="6:12">
      <c r="F139" s="16" t="s">
        <v>1034</v>
      </c>
    </row>
    <row r="140" spans="6:12" hidden="1">
      <c r="F140" s="16"/>
    </row>
    <row r="141" spans="6:12" hidden="1">
      <c r="F141" s="16"/>
    </row>
    <row r="142" spans="6:12" hidden="1">
      <c r="F142" s="16"/>
    </row>
    <row r="143" spans="6:12" hidden="1">
      <c r="F143" s="16"/>
      <c r="L143">
        <v>12</v>
      </c>
    </row>
    <row r="144" spans="6:12" hidden="1">
      <c r="F144" s="16"/>
    </row>
    <row r="145" spans="6:12" hidden="1">
      <c r="F145" s="16"/>
    </row>
    <row r="146" spans="6:12" hidden="1">
      <c r="F146" s="16"/>
    </row>
    <row r="147" spans="6:12" hidden="1">
      <c r="F147" s="16"/>
    </row>
    <row r="148" spans="6:12" hidden="1">
      <c r="F148" s="16"/>
      <c r="L148">
        <v>9</v>
      </c>
    </row>
    <row r="149" spans="6:12" hidden="1">
      <c r="F149" s="16"/>
    </row>
    <row r="150" spans="6:12">
      <c r="F150" s="16" t="s">
        <v>1034</v>
      </c>
    </row>
    <row r="151" spans="6:12" hidden="1">
      <c r="F151" s="16"/>
    </row>
    <row r="152" spans="6:12" hidden="1">
      <c r="F152" s="16"/>
    </row>
    <row r="153" spans="6:12" hidden="1">
      <c r="F153" s="16"/>
    </row>
    <row r="154" spans="6:12" hidden="1">
      <c r="F154" s="16"/>
    </row>
    <row r="155" spans="6:12" hidden="1">
      <c r="F155" s="17"/>
    </row>
    <row r="156" spans="6:12" hidden="1">
      <c r="F156" s="16"/>
    </row>
    <row r="157" spans="6:12" hidden="1">
      <c r="F157" s="16"/>
    </row>
    <row r="158" spans="6:12" hidden="1">
      <c r="F158" s="16"/>
    </row>
    <row r="159" spans="6:12" hidden="1">
      <c r="F159" s="16"/>
    </row>
    <row r="160" spans="6:12" hidden="1">
      <c r="F160" s="16" t="s">
        <v>1204</v>
      </c>
    </row>
  </sheetData>
  <autoFilter ref="F2:F160" xr:uid="{00000000-0009-0000-0000-000007000000}">
    <filterColumn colId="0">
      <filters>
        <filter val="기타"/>
      </filters>
    </filterColumn>
  </autoFilter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3:D260"/>
  <sheetViews>
    <sheetView workbookViewId="0">
      <selection activeCell="A3" sqref="A3"/>
    </sheetView>
  </sheetViews>
  <sheetFormatPr defaultRowHeight="16.5"/>
  <cols>
    <col min="1" max="1" width="21.375" customWidth="1"/>
    <col min="2" max="3" width="11.25" customWidth="1"/>
    <col min="4" max="4" width="40.25" customWidth="1"/>
    <col min="5" max="77" width="21.625" customWidth="1"/>
    <col min="78" max="78" width="7.375" customWidth="1"/>
    <col min="79" max="347" width="12.5" customWidth="1"/>
    <col min="348" max="348" width="7.375" customWidth="1"/>
    <col min="349" max="424" width="59.5" bestFit="1" customWidth="1"/>
    <col min="425" max="425" width="59.5" customWidth="1"/>
    <col min="426" max="723" width="59.5" bestFit="1" customWidth="1"/>
    <col min="724" max="724" width="59.5" customWidth="1"/>
    <col min="725" max="981" width="59.5" bestFit="1" customWidth="1"/>
    <col min="982" max="982" width="59.5" customWidth="1"/>
    <col min="983" max="1076" width="59.5" bestFit="1" customWidth="1"/>
    <col min="1077" max="1077" width="59.5" customWidth="1"/>
    <col min="1078" max="1078" width="7.375" customWidth="1"/>
  </cols>
  <sheetData>
    <row r="3" spans="1:4">
      <c r="A3" s="33" t="s">
        <v>2125</v>
      </c>
      <c r="B3" s="33" t="s">
        <v>2127</v>
      </c>
      <c r="C3" s="33" t="s">
        <v>2124</v>
      </c>
      <c r="D3" s="33" t="s">
        <v>2126</v>
      </c>
    </row>
    <row r="4" spans="1:4">
      <c r="A4" t="s">
        <v>3</v>
      </c>
    </row>
    <row r="5" spans="1:4">
      <c r="B5">
        <v>2013</v>
      </c>
    </row>
    <row r="6" spans="1:4">
      <c r="C6" t="s">
        <v>1104</v>
      </c>
    </row>
    <row r="7" spans="1:4">
      <c r="D7" t="s">
        <v>326</v>
      </c>
    </row>
    <row r="8" spans="1:4">
      <c r="A8" t="s">
        <v>57</v>
      </c>
    </row>
    <row r="9" spans="1:4">
      <c r="B9">
        <v>2013</v>
      </c>
    </row>
    <row r="10" spans="1:4">
      <c r="C10" t="s">
        <v>1128</v>
      </c>
    </row>
    <row r="11" spans="1:4">
      <c r="D11" t="s">
        <v>331</v>
      </c>
    </row>
    <row r="12" spans="1:4">
      <c r="C12" t="s">
        <v>1127</v>
      </c>
    </row>
    <row r="13" spans="1:4">
      <c r="D13" t="s">
        <v>330</v>
      </c>
    </row>
    <row r="14" spans="1:4">
      <c r="C14" t="s">
        <v>1125</v>
      </c>
    </row>
    <row r="15" spans="1:4">
      <c r="D15" t="s">
        <v>329</v>
      </c>
    </row>
    <row r="16" spans="1:4">
      <c r="C16" t="s">
        <v>1130</v>
      </c>
    </row>
    <row r="17" spans="1:4">
      <c r="D17" t="s">
        <v>332</v>
      </c>
    </row>
    <row r="18" spans="1:4">
      <c r="C18" t="s">
        <v>2114</v>
      </c>
    </row>
    <row r="19" spans="1:4">
      <c r="D19" t="s">
        <v>2123</v>
      </c>
    </row>
    <row r="20" spans="1:4">
      <c r="A20" t="s">
        <v>43</v>
      </c>
    </row>
    <row r="21" spans="1:4">
      <c r="B21">
        <v>2013</v>
      </c>
    </row>
    <row r="22" spans="1:4">
      <c r="C22" t="s">
        <v>1177</v>
      </c>
    </row>
    <row r="23" spans="1:4">
      <c r="D23" t="s">
        <v>300</v>
      </c>
    </row>
    <row r="24" spans="1:4">
      <c r="C24" t="s">
        <v>1182</v>
      </c>
    </row>
    <row r="25" spans="1:4">
      <c r="D25" t="s">
        <v>299</v>
      </c>
    </row>
    <row r="26" spans="1:4">
      <c r="A26" t="s">
        <v>37</v>
      </c>
    </row>
    <row r="27" spans="1:4">
      <c r="B27">
        <v>2013</v>
      </c>
    </row>
    <row r="28" spans="1:4">
      <c r="C28" t="s">
        <v>1189</v>
      </c>
    </row>
    <row r="29" spans="1:4">
      <c r="D29" t="s">
        <v>309</v>
      </c>
    </row>
    <row r="30" spans="1:4">
      <c r="C30" t="s">
        <v>1191</v>
      </c>
    </row>
    <row r="31" spans="1:4">
      <c r="D31" t="s">
        <v>310</v>
      </c>
    </row>
    <row r="32" spans="1:4">
      <c r="C32" t="s">
        <v>1193</v>
      </c>
    </row>
    <row r="33" spans="1:4">
      <c r="D33" t="s">
        <v>311</v>
      </c>
    </row>
    <row r="34" spans="1:4">
      <c r="C34" t="s">
        <v>1187</v>
      </c>
    </row>
    <row r="35" spans="1:4">
      <c r="D35" t="s">
        <v>308</v>
      </c>
    </row>
    <row r="36" spans="1:4">
      <c r="A36" t="s">
        <v>33</v>
      </c>
    </row>
    <row r="37" spans="1:4">
      <c r="B37">
        <v>2013</v>
      </c>
    </row>
    <row r="38" spans="1:4">
      <c r="C38" t="s">
        <v>1549</v>
      </c>
    </row>
    <row r="39" spans="1:4">
      <c r="D39" t="s">
        <v>321</v>
      </c>
    </row>
    <row r="40" spans="1:4">
      <c r="C40" t="s">
        <v>1551</v>
      </c>
    </row>
    <row r="41" spans="1:4">
      <c r="D41" t="s">
        <v>322</v>
      </c>
    </row>
    <row r="42" spans="1:4">
      <c r="C42" t="s">
        <v>1553</v>
      </c>
    </row>
    <row r="43" spans="1:4">
      <c r="D43" t="s">
        <v>323</v>
      </c>
    </row>
    <row r="44" spans="1:4">
      <c r="A44" t="s">
        <v>29</v>
      </c>
    </row>
    <row r="45" spans="1:4">
      <c r="B45">
        <v>2013</v>
      </c>
    </row>
    <row r="46" spans="1:4">
      <c r="C46" t="s">
        <v>1536</v>
      </c>
    </row>
    <row r="47" spans="1:4">
      <c r="D47" t="s">
        <v>313</v>
      </c>
    </row>
    <row r="48" spans="1:4">
      <c r="C48" t="s">
        <v>1534</v>
      </c>
    </row>
    <row r="49" spans="1:4">
      <c r="D49" t="s">
        <v>312</v>
      </c>
    </row>
    <row r="50" spans="1:4">
      <c r="A50" t="s">
        <v>104</v>
      </c>
    </row>
    <row r="51" spans="1:4">
      <c r="B51">
        <v>2013</v>
      </c>
    </row>
    <row r="52" spans="1:4">
      <c r="C52" t="s">
        <v>1538</v>
      </c>
    </row>
    <row r="53" spans="1:4">
      <c r="D53" t="s">
        <v>314</v>
      </c>
    </row>
    <row r="54" spans="1:4">
      <c r="C54" t="s">
        <v>1541</v>
      </c>
    </row>
    <row r="55" spans="1:4">
      <c r="D55" t="s">
        <v>316</v>
      </c>
    </row>
    <row r="56" spans="1:4">
      <c r="C56" t="s">
        <v>1540</v>
      </c>
    </row>
    <row r="57" spans="1:4">
      <c r="D57" t="s">
        <v>315</v>
      </c>
    </row>
    <row r="58" spans="1:4">
      <c r="C58" t="s">
        <v>1547</v>
      </c>
    </row>
    <row r="59" spans="1:4">
      <c r="D59" t="s">
        <v>319</v>
      </c>
    </row>
    <row r="60" spans="1:4">
      <c r="C60" t="s">
        <v>1543</v>
      </c>
    </row>
    <row r="61" spans="1:4">
      <c r="D61" t="s">
        <v>317</v>
      </c>
    </row>
    <row r="62" spans="1:4">
      <c r="C62" t="s">
        <v>1545</v>
      </c>
    </row>
    <row r="63" spans="1:4">
      <c r="D63" t="s">
        <v>318</v>
      </c>
    </row>
    <row r="64" spans="1:4">
      <c r="A64" t="s">
        <v>26</v>
      </c>
    </row>
    <row r="65" spans="1:4">
      <c r="B65">
        <v>2013</v>
      </c>
    </row>
    <row r="66" spans="1:4">
      <c r="C66" t="s">
        <v>1881</v>
      </c>
    </row>
    <row r="67" spans="1:4">
      <c r="D67" t="s">
        <v>2120</v>
      </c>
    </row>
    <row r="68" spans="1:4">
      <c r="A68" t="s">
        <v>86</v>
      </c>
    </row>
    <row r="69" spans="1:4">
      <c r="B69">
        <v>2013</v>
      </c>
    </row>
    <row r="70" spans="1:4">
      <c r="C70" t="s">
        <v>1879</v>
      </c>
    </row>
    <row r="71" spans="1:4">
      <c r="D71" t="s">
        <v>297</v>
      </c>
    </row>
    <row r="72" spans="1:4">
      <c r="A72" t="s">
        <v>34</v>
      </c>
    </row>
    <row r="73" spans="1:4">
      <c r="B73">
        <v>2013</v>
      </c>
    </row>
    <row r="74" spans="1:4">
      <c r="C74" t="s">
        <v>1885</v>
      </c>
    </row>
    <row r="75" spans="1:4">
      <c r="D75" t="s">
        <v>320</v>
      </c>
    </row>
    <row r="76" spans="1:4">
      <c r="A76" t="s">
        <v>16</v>
      </c>
    </row>
    <row r="77" spans="1:4">
      <c r="B77">
        <v>2013</v>
      </c>
    </row>
    <row r="78" spans="1:4">
      <c r="C78" t="s">
        <v>1884</v>
      </c>
    </row>
    <row r="79" spans="1:4">
      <c r="D79" t="s">
        <v>303</v>
      </c>
    </row>
    <row r="80" spans="1:4">
      <c r="A80" t="s">
        <v>19</v>
      </c>
    </row>
    <row r="81" spans="1:4">
      <c r="B81">
        <v>2013</v>
      </c>
    </row>
    <row r="82" spans="1:4">
      <c r="C82" t="s">
        <v>1313</v>
      </c>
    </row>
    <row r="83" spans="1:4">
      <c r="D83" t="s">
        <v>302</v>
      </c>
    </row>
    <row r="84" spans="1:4">
      <c r="A84" t="s">
        <v>128</v>
      </c>
    </row>
    <row r="85" spans="1:4">
      <c r="B85">
        <v>2013</v>
      </c>
    </row>
    <row r="86" spans="1:4">
      <c r="C86" t="s">
        <v>1990</v>
      </c>
    </row>
    <row r="87" spans="1:4">
      <c r="D87" t="s">
        <v>2117</v>
      </c>
    </row>
    <row r="88" spans="1:4">
      <c r="A88" t="s">
        <v>928</v>
      </c>
    </row>
    <row r="89" spans="1:4">
      <c r="B89">
        <v>2013</v>
      </c>
    </row>
    <row r="90" spans="1:4">
      <c r="C90" t="s">
        <v>1987</v>
      </c>
    </row>
    <row r="91" spans="1:4">
      <c r="D91" t="s">
        <v>929</v>
      </c>
    </row>
    <row r="92" spans="1:4">
      <c r="A92" t="s">
        <v>122</v>
      </c>
    </row>
    <row r="93" spans="1:4">
      <c r="B93">
        <v>2013</v>
      </c>
    </row>
    <row r="94" spans="1:4">
      <c r="C94" t="s">
        <v>1957</v>
      </c>
    </row>
    <row r="95" spans="1:4">
      <c r="D95" t="s">
        <v>2116</v>
      </c>
    </row>
    <row r="96" spans="1:4">
      <c r="C96" t="s">
        <v>1938</v>
      </c>
    </row>
    <row r="97" spans="1:4">
      <c r="D97" t="s">
        <v>282</v>
      </c>
    </row>
    <row r="98" spans="1:4">
      <c r="C98" t="s">
        <v>1940</v>
      </c>
    </row>
    <row r="99" spans="1:4">
      <c r="D99" t="s">
        <v>284</v>
      </c>
    </row>
    <row r="100" spans="1:4">
      <c r="C100" t="s">
        <v>1939</v>
      </c>
    </row>
    <row r="101" spans="1:4">
      <c r="D101" t="s">
        <v>283</v>
      </c>
    </row>
    <row r="102" spans="1:4">
      <c r="C102" t="s">
        <v>1956</v>
      </c>
    </row>
    <row r="103" spans="1:4">
      <c r="D103" t="s">
        <v>285</v>
      </c>
    </row>
    <row r="104" spans="1:4">
      <c r="C104" t="s">
        <v>1921</v>
      </c>
    </row>
    <row r="105" spans="1:4">
      <c r="D105" t="s">
        <v>281</v>
      </c>
    </row>
    <row r="106" spans="1:4">
      <c r="A106" t="s">
        <v>813</v>
      </c>
    </row>
    <row r="107" spans="1:4">
      <c r="B107">
        <v>2013</v>
      </c>
    </row>
    <row r="108" spans="1:4">
      <c r="C108" t="s">
        <v>2013</v>
      </c>
    </row>
    <row r="109" spans="1:4">
      <c r="D109" t="s">
        <v>932</v>
      </c>
    </row>
    <row r="110" spans="1:4">
      <c r="A110" t="s">
        <v>12</v>
      </c>
    </row>
    <row r="111" spans="1:4">
      <c r="B111">
        <v>2013</v>
      </c>
    </row>
    <row r="112" spans="1:4">
      <c r="C112" t="s">
        <v>1866</v>
      </c>
    </row>
    <row r="113" spans="1:4">
      <c r="D113" t="s">
        <v>290</v>
      </c>
    </row>
    <row r="114" spans="1:4">
      <c r="C114" t="s">
        <v>1861</v>
      </c>
    </row>
    <row r="115" spans="1:4">
      <c r="D115" t="s">
        <v>2118</v>
      </c>
    </row>
    <row r="116" spans="1:4">
      <c r="C116" t="s">
        <v>1864</v>
      </c>
    </row>
    <row r="117" spans="1:4">
      <c r="D117" t="s">
        <v>289</v>
      </c>
    </row>
    <row r="118" spans="1:4">
      <c r="A118" t="s">
        <v>145</v>
      </c>
    </row>
    <row r="119" spans="1:4">
      <c r="B119">
        <v>2013</v>
      </c>
    </row>
    <row r="120" spans="1:4">
      <c r="C120" t="s">
        <v>1833</v>
      </c>
    </row>
    <row r="121" spans="1:4">
      <c r="D121" t="s">
        <v>294</v>
      </c>
    </row>
    <row r="122" spans="1:4">
      <c r="A122" t="s">
        <v>686</v>
      </c>
    </row>
    <row r="123" spans="1:4">
      <c r="B123">
        <v>2013</v>
      </c>
    </row>
    <row r="124" spans="1:4">
      <c r="C124" t="s">
        <v>1298</v>
      </c>
    </row>
    <row r="125" spans="1:4">
      <c r="D125" t="s">
        <v>288</v>
      </c>
    </row>
    <row r="126" spans="1:4">
      <c r="A126" t="s">
        <v>2115</v>
      </c>
    </row>
    <row r="127" spans="1:4">
      <c r="B127">
        <v>2013</v>
      </c>
    </row>
    <row r="128" spans="1:4">
      <c r="C128" t="s">
        <v>1301</v>
      </c>
    </row>
    <row r="129" spans="1:4">
      <c r="D129" t="s">
        <v>291</v>
      </c>
    </row>
    <row r="130" spans="1:4">
      <c r="C130" t="s">
        <v>1303</v>
      </c>
    </row>
    <row r="131" spans="1:4">
      <c r="D131" t="s">
        <v>292</v>
      </c>
    </row>
    <row r="132" spans="1:4">
      <c r="C132" t="s">
        <v>1305</v>
      </c>
    </row>
    <row r="133" spans="1:4">
      <c r="D133" t="s">
        <v>293</v>
      </c>
    </row>
    <row r="134" spans="1:4">
      <c r="A134" t="s">
        <v>6</v>
      </c>
    </row>
    <row r="135" spans="1:4">
      <c r="B135">
        <v>2013</v>
      </c>
    </row>
    <row r="136" spans="1:4">
      <c r="C136" t="s">
        <v>1315</v>
      </c>
    </row>
    <row r="137" spans="1:4">
      <c r="D137" t="s">
        <v>324</v>
      </c>
    </row>
    <row r="138" spans="1:4">
      <c r="C138" t="s">
        <v>1317</v>
      </c>
    </row>
    <row r="139" spans="1:4">
      <c r="D139" t="s">
        <v>2122</v>
      </c>
    </row>
    <row r="140" spans="1:4">
      <c r="C140" t="s">
        <v>1319</v>
      </c>
    </row>
    <row r="141" spans="1:4">
      <c r="D141" t="s">
        <v>325</v>
      </c>
    </row>
    <row r="142" spans="1:4">
      <c r="A142" t="s">
        <v>8</v>
      </c>
    </row>
    <row r="143" spans="1:4">
      <c r="B143">
        <v>2013</v>
      </c>
    </row>
    <row r="144" spans="1:4">
      <c r="C144" t="s">
        <v>1306</v>
      </c>
    </row>
    <row r="145" spans="1:4">
      <c r="D145" t="s">
        <v>296</v>
      </c>
    </row>
    <row r="146" spans="1:4">
      <c r="A146" t="s">
        <v>14</v>
      </c>
    </row>
    <row r="147" spans="1:4">
      <c r="B147">
        <v>2013</v>
      </c>
    </row>
    <row r="148" spans="1:4">
      <c r="C148" t="s">
        <v>1308</v>
      </c>
    </row>
    <row r="149" spans="1:4">
      <c r="D149" t="s">
        <v>298</v>
      </c>
    </row>
    <row r="150" spans="1:4">
      <c r="C150" t="s">
        <v>1310</v>
      </c>
    </row>
    <row r="151" spans="1:4">
      <c r="D151" t="s">
        <v>2119</v>
      </c>
    </row>
    <row r="152" spans="1:4">
      <c r="A152" t="s">
        <v>278</v>
      </c>
    </row>
    <row r="153" spans="1:4">
      <c r="B153">
        <v>2013</v>
      </c>
    </row>
    <row r="154" spans="1:4">
      <c r="C154" t="s">
        <v>1297</v>
      </c>
    </row>
    <row r="155" spans="1:4">
      <c r="D155" t="s">
        <v>280</v>
      </c>
    </row>
    <row r="156" spans="1:4">
      <c r="C156" t="s">
        <v>1296</v>
      </c>
    </row>
    <row r="157" spans="1:4">
      <c r="D157" t="s">
        <v>279</v>
      </c>
    </row>
    <row r="158" spans="1:4">
      <c r="A158" t="s">
        <v>56</v>
      </c>
    </row>
    <row r="159" spans="1:4">
      <c r="B159">
        <v>2013</v>
      </c>
    </row>
    <row r="160" spans="1:4">
      <c r="C160" t="s">
        <v>1739</v>
      </c>
    </row>
    <row r="161" spans="1:4">
      <c r="D161" t="s">
        <v>328</v>
      </c>
    </row>
    <row r="162" spans="1:4">
      <c r="C162" t="s">
        <v>1737</v>
      </c>
    </row>
    <row r="163" spans="1:4">
      <c r="D163" t="s">
        <v>327</v>
      </c>
    </row>
    <row r="164" spans="1:4">
      <c r="A164" t="s">
        <v>64</v>
      </c>
    </row>
    <row r="165" spans="1:4">
      <c r="B165">
        <v>2013</v>
      </c>
    </row>
    <row r="166" spans="1:4">
      <c r="C166" t="s">
        <v>1770</v>
      </c>
    </row>
    <row r="167" spans="1:4">
      <c r="D167" t="s">
        <v>306</v>
      </c>
    </row>
    <row r="168" spans="1:4">
      <c r="C168" t="s">
        <v>1772</v>
      </c>
    </row>
    <row r="169" spans="1:4">
      <c r="D169" t="s">
        <v>307</v>
      </c>
    </row>
    <row r="170" spans="1:4">
      <c r="C170" t="s">
        <v>1766</v>
      </c>
    </row>
    <row r="171" spans="1:4">
      <c r="D171" t="s">
        <v>304</v>
      </c>
    </row>
    <row r="172" spans="1:4">
      <c r="C172" t="s">
        <v>1768</v>
      </c>
    </row>
    <row r="173" spans="1:4">
      <c r="D173" t="s">
        <v>305</v>
      </c>
    </row>
    <row r="174" spans="1:4">
      <c r="A174" t="s">
        <v>55</v>
      </c>
    </row>
    <row r="175" spans="1:4">
      <c r="B175">
        <v>2013</v>
      </c>
    </row>
    <row r="176" spans="1:4">
      <c r="C176" t="s">
        <v>1721</v>
      </c>
    </row>
    <row r="177" spans="1:4">
      <c r="D177" t="s">
        <v>295</v>
      </c>
    </row>
    <row r="178" spans="1:4">
      <c r="A178" t="s">
        <v>13</v>
      </c>
    </row>
    <row r="179" spans="1:4">
      <c r="B179">
        <v>2013</v>
      </c>
    </row>
    <row r="180" spans="1:4">
      <c r="C180" t="s">
        <v>950</v>
      </c>
    </row>
    <row r="181" spans="1:4">
      <c r="D181" t="s">
        <v>2121</v>
      </c>
    </row>
    <row r="182" spans="1:4">
      <c r="C182" t="s">
        <v>969</v>
      </c>
    </row>
    <row r="183" spans="1:4">
      <c r="D183" t="s">
        <v>301</v>
      </c>
    </row>
    <row r="184" spans="1:4">
      <c r="A184" t="s">
        <v>40</v>
      </c>
    </row>
    <row r="185" spans="1:4">
      <c r="B185">
        <v>2013</v>
      </c>
    </row>
    <row r="186" spans="1:4">
      <c r="C186" t="s">
        <v>1819</v>
      </c>
    </row>
    <row r="187" spans="1:4">
      <c r="D187" t="s">
        <v>274</v>
      </c>
    </row>
    <row r="188" spans="1:4">
      <c r="A188" t="s">
        <v>44</v>
      </c>
    </row>
    <row r="189" spans="1:4">
      <c r="B189">
        <v>2013</v>
      </c>
    </row>
    <row r="190" spans="1:4">
      <c r="C190" t="s">
        <v>1041</v>
      </c>
    </row>
    <row r="191" spans="1:4">
      <c r="D191" t="s">
        <v>277</v>
      </c>
    </row>
    <row r="192" spans="1:4">
      <c r="A192" t="s">
        <v>58</v>
      </c>
    </row>
    <row r="193" spans="1:4">
      <c r="B193">
        <v>2013</v>
      </c>
    </row>
    <row r="194" spans="1:4">
      <c r="C194" t="s">
        <v>1051</v>
      </c>
    </row>
    <row r="195" spans="1:4">
      <c r="D195" t="s">
        <v>287</v>
      </c>
    </row>
    <row r="196" spans="1:4">
      <c r="A196" t="s">
        <v>42</v>
      </c>
    </row>
    <row r="197" spans="1:4">
      <c r="B197">
        <v>2013</v>
      </c>
    </row>
    <row r="198" spans="1:4">
      <c r="C198" t="s">
        <v>1062</v>
      </c>
    </row>
    <row r="199" spans="1:4">
      <c r="D199" t="s">
        <v>275</v>
      </c>
    </row>
    <row r="200" spans="1:4">
      <c r="A200" t="s">
        <v>51</v>
      </c>
    </row>
    <row r="201" spans="1:4">
      <c r="B201">
        <v>2013</v>
      </c>
    </row>
    <row r="202" spans="1:4">
      <c r="C202" t="s">
        <v>1081</v>
      </c>
    </row>
    <row r="203" spans="1:4">
      <c r="D203" t="s">
        <v>286</v>
      </c>
    </row>
    <row r="204" spans="1:4">
      <c r="A204" t="s">
        <v>2095</v>
      </c>
    </row>
    <row r="251" spans="1:1">
      <c r="A251" t="s">
        <v>2245</v>
      </c>
    </row>
    <row r="252" spans="1:1">
      <c r="A252" s="24">
        <v>1</v>
      </c>
    </row>
    <row r="253" spans="1:1">
      <c r="A253">
        <v>2</v>
      </c>
    </row>
    <row r="254" spans="1:1">
      <c r="A254">
        <v>2</v>
      </c>
    </row>
    <row r="255" spans="1:1">
      <c r="A255" s="24">
        <v>3</v>
      </c>
    </row>
    <row r="256" spans="1:1">
      <c r="A256" s="24">
        <v>4</v>
      </c>
    </row>
    <row r="257" spans="1:1">
      <c r="A257" s="24">
        <v>5</v>
      </c>
    </row>
    <row r="258" spans="1:1">
      <c r="A258" s="24">
        <v>6</v>
      </c>
    </row>
    <row r="259" spans="1:1">
      <c r="A259" s="24">
        <v>7</v>
      </c>
    </row>
    <row r="260" spans="1:1">
      <c r="A260" s="24">
        <v>8</v>
      </c>
    </row>
  </sheetData>
  <autoFilter ref="A251:A260" xr:uid="{00000000-0009-0000-0000-000008000000}"/>
  <phoneticPr fontId="3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2</vt:i4>
      </vt:variant>
    </vt:vector>
  </HeadingPairs>
  <TitlesOfParts>
    <vt:vector size="11" baseType="lpstr">
      <vt:lpstr>rawdata</vt:lpstr>
      <vt:lpstr>Sheet7</vt:lpstr>
      <vt:lpstr>Sheet1</vt:lpstr>
      <vt:lpstr>Sheet2</vt:lpstr>
      <vt:lpstr>Sheet3</vt:lpstr>
      <vt:lpstr>Sheet5</vt:lpstr>
      <vt:lpstr>Sheet4</vt:lpstr>
      <vt:lpstr>Sheet6</vt:lpstr>
      <vt:lpstr>피벗테이블</vt:lpstr>
      <vt:lpstr>rawdata!Print_Area</vt:lpstr>
      <vt:lpstr>rawdata!Print_Titles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2026-03-04T05:46:10Z</cp:lastPrinted>
  <dcterms:created xsi:type="dcterms:W3CDTF">2020-09-28T12:36:00Z</dcterms:created>
  <dcterms:modified xsi:type="dcterms:W3CDTF">2026-03-04T07:20:09Z</dcterms:modified>
</cp:coreProperties>
</file>